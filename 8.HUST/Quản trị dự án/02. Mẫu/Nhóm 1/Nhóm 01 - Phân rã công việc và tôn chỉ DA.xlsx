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0" documentId="11_BCFBF71B4554AE5B875BC908557DB26E80DEF522" xr6:coauthVersionLast="47" xr6:coauthVersionMax="47" xr10:uidLastSave="{00000000-0000-0000-0000-000000000000}"/>
  <bookViews>
    <workbookView xWindow="0" yWindow="0" windowWidth="0" windowHeight="0" xr2:uid="{00000000-000D-0000-FFFF-FFFF00000000}"/>
  </bookViews>
  <sheets>
    <sheet name="WBS_PhanRaCTCongViec" sheetId="1" r:id="rId1"/>
    <sheet name="TongCongSoMoiThanhVien" sheetId="2" r:id="rId2"/>
    <sheet name="TonChiD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D3" i="2"/>
  <c r="J64" i="1"/>
  <c r="I64" i="1"/>
  <c r="H64" i="1"/>
  <c r="K63" i="1"/>
  <c r="K62" i="1"/>
  <c r="K61" i="1"/>
  <c r="K60" i="1"/>
  <c r="K59" i="1"/>
  <c r="K57" i="1"/>
  <c r="K56" i="1"/>
  <c r="K55" i="1"/>
  <c r="K54" i="1"/>
  <c r="K53" i="1"/>
  <c r="K52" i="1"/>
  <c r="K51" i="1"/>
  <c r="K50" i="1"/>
  <c r="K49" i="1"/>
  <c r="K48" i="1"/>
  <c r="K46" i="1"/>
  <c r="K45" i="1"/>
  <c r="K44" i="1"/>
  <c r="K43" i="1"/>
  <c r="K42" i="1"/>
  <c r="K41" i="1"/>
  <c r="K40" i="1"/>
  <c r="K39" i="1"/>
  <c r="K38" i="1"/>
  <c r="K37" i="1"/>
  <c r="K36" i="1"/>
  <c r="K35" i="1"/>
  <c r="K34" i="1"/>
  <c r="K33" i="1"/>
  <c r="K31" i="1"/>
  <c r="K30" i="1"/>
  <c r="K29" i="1"/>
  <c r="K28" i="1"/>
  <c r="K27" i="1"/>
  <c r="K26" i="1"/>
  <c r="K25" i="1"/>
  <c r="K24" i="1"/>
  <c r="K22" i="1"/>
  <c r="K21" i="1"/>
  <c r="K20" i="1"/>
  <c r="K19" i="1"/>
  <c r="K18" i="1"/>
  <c r="K17" i="1"/>
  <c r="K16" i="1"/>
  <c r="K15" i="1"/>
  <c r="K14" i="1"/>
  <c r="K12" i="1"/>
  <c r="K11" i="1"/>
  <c r="K10" i="1"/>
  <c r="K9" i="1"/>
  <c r="K8" i="1"/>
  <c r="K7" i="1"/>
  <c r="K6" i="1"/>
  <c r="K5" i="1"/>
  <c r="K64" i="1" l="1"/>
  <c r="L5" i="1"/>
  <c r="L6" i="1"/>
  <c r="M6" i="1" s="1"/>
  <c r="L7" i="1"/>
  <c r="M7" i="1" s="1"/>
  <c r="B6" i="2" s="1"/>
  <c r="L8" i="1"/>
  <c r="M8" i="1" s="1"/>
  <c r="B5" i="2" s="1"/>
  <c r="L9" i="1"/>
  <c r="M9" i="1" s="1"/>
  <c r="L10" i="1"/>
  <c r="M10" i="1" s="1"/>
  <c r="L11" i="1"/>
  <c r="M11" i="1" s="1"/>
  <c r="L12" i="1"/>
  <c r="M12" i="1" s="1"/>
  <c r="L14" i="1"/>
  <c r="M14" i="1" s="1"/>
  <c r="L15" i="1"/>
  <c r="M15" i="1" s="1"/>
  <c r="L16" i="1"/>
  <c r="M16" i="1" s="1"/>
  <c r="C6" i="2" s="1"/>
  <c r="L17" i="1"/>
  <c r="M17" i="1" s="1"/>
  <c r="L18" i="1"/>
  <c r="M18" i="1" s="1"/>
  <c r="L19" i="1"/>
  <c r="M19" i="1" s="1"/>
  <c r="C5" i="2" s="1"/>
  <c r="L20" i="1"/>
  <c r="M20" i="1" s="1"/>
  <c r="L21" i="1"/>
  <c r="M21" i="1" s="1"/>
  <c r="L22" i="1"/>
  <c r="M22" i="1" s="1"/>
  <c r="L24" i="1"/>
  <c r="M24" i="1" s="1"/>
  <c r="L25" i="1"/>
  <c r="M25" i="1" s="1"/>
  <c r="L26" i="1"/>
  <c r="M26" i="1" s="1"/>
  <c r="D4" i="2" s="1"/>
  <c r="L27" i="1"/>
  <c r="M27" i="1" s="1"/>
  <c r="L28" i="1"/>
  <c r="M28" i="1" s="1"/>
  <c r="L29" i="1"/>
  <c r="M29" i="1" s="1"/>
  <c r="L30" i="1"/>
  <c r="M30" i="1" s="1"/>
  <c r="L31" i="1"/>
  <c r="M31" i="1" s="1"/>
  <c r="D2" i="2"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E2" i="2" s="1"/>
  <c r="L46" i="1"/>
  <c r="M46" i="1" s="1"/>
  <c r="L48" i="1"/>
  <c r="M48" i="1" s="1"/>
  <c r="L49" i="1"/>
  <c r="M49" i="1" s="1"/>
  <c r="L50" i="1"/>
  <c r="M50" i="1" s="1"/>
  <c r="L51" i="1"/>
  <c r="M51" i="1" s="1"/>
  <c r="L52" i="1"/>
  <c r="M52" i="1" s="1"/>
  <c r="L53" i="1"/>
  <c r="M53" i="1" s="1"/>
  <c r="L54" i="1"/>
  <c r="M54" i="1" s="1"/>
  <c r="L55" i="1"/>
  <c r="M55" i="1" s="1"/>
  <c r="L56" i="1"/>
  <c r="M56" i="1" s="1"/>
  <c r="L57" i="1"/>
  <c r="M57" i="1" s="1"/>
  <c r="L59" i="1"/>
  <c r="M59" i="1" s="1"/>
  <c r="G3" i="2" s="1"/>
  <c r="L60" i="1"/>
  <c r="M60" i="1" s="1"/>
  <c r="G4" i="2" s="1"/>
  <c r="L61" i="1"/>
  <c r="M61" i="1" s="1"/>
  <c r="G6" i="2" s="1"/>
  <c r="L62" i="1"/>
  <c r="M62" i="1" s="1"/>
  <c r="G2" i="2" s="1"/>
  <c r="L63" i="1"/>
  <c r="M63" i="1" s="1"/>
  <c r="G5" i="2" s="1"/>
  <c r="G7" i="2" l="1"/>
  <c r="F2" i="2"/>
  <c r="F4" i="2"/>
  <c r="F6" i="2"/>
  <c r="F5" i="2"/>
  <c r="F3" i="2"/>
  <c r="E5" i="2"/>
  <c r="E6" i="2"/>
  <c r="E4" i="2"/>
  <c r="E3" i="2"/>
  <c r="E7" i="2" s="1"/>
  <c r="D5" i="2"/>
  <c r="D6" i="2"/>
  <c r="C3" i="2"/>
  <c r="C4" i="2"/>
  <c r="H4" i="2" s="1"/>
  <c r="C2" i="2"/>
  <c r="C7" i="2" s="1"/>
  <c r="H5" i="2"/>
  <c r="H6" i="2"/>
  <c r="B3" i="2"/>
  <c r="H3" i="2" s="1"/>
  <c r="L64" i="1"/>
  <c r="M5" i="1"/>
  <c r="B2" i="2" l="1"/>
  <c r="M64" i="1"/>
  <c r="D7" i="2"/>
  <c r="F7" i="2"/>
  <c r="B7" i="2" l="1"/>
  <c r="H2" i="2"/>
  <c r="H7" i="2" s="1"/>
</calcChain>
</file>

<file path=xl/sharedStrings.xml><?xml version="1.0" encoding="utf-8"?>
<sst xmlns="http://schemas.openxmlformats.org/spreadsheetml/2006/main" count="369" uniqueCount="238">
  <si>
    <t>STT</t>
  </si>
  <si>
    <t>Task</t>
  </si>
  <si>
    <t>Mô tả</t>
  </si>
  <si>
    <t>Sản phẩm</t>
  </si>
  <si>
    <t>Thời gian</t>
  </si>
  <si>
    <t>Thứ tự thực hiện</t>
  </si>
  <si>
    <t>Người thực hiện</t>
  </si>
  <si>
    <t>Estimate (manday)</t>
  </si>
  <si>
    <t>MO</t>
  </si>
  <si>
    <t>ML</t>
  </si>
  <si>
    <t>MP</t>
  </si>
  <si>
    <t>EST PERT</t>
  </si>
  <si>
    <t>Buffer</t>
  </si>
  <si>
    <t>EST chốt</t>
  </si>
  <si>
    <t>A. KHẢO SÁT &amp; YÊU CẦU</t>
  </si>
  <si>
    <t>Khảo sát quy trình nhập hàng và đổi trả</t>
  </si>
  <si>
    <t>Khảo sát cách kho nhận hàng từ nhà cung cấp, kiểm tra mẫu mã, màu, size, đối chiếu hóa đơn nhập; cách tiếp nhận và phân loại hàng khách trả lại.</t>
  </si>
  <si>
    <t>Báo cáo khảo sát &amp; đặc tả yêu cầu</t>
  </si>
  <si>
    <t>01/09/2026-25/09/2026</t>
  </si>
  <si>
    <t>Từ đầu</t>
  </si>
  <si>
    <t>Bùi Tuấn Anh</t>
  </si>
  <si>
    <t>Khảo sát quy trình xuất hàng, chuyển kho, hủy hàng</t>
  </si>
  <si>
    <t>Khảo sát cách bộ phận bán hàng gửi yêu cầu xuất, cách kho soạn hàng, chuyển hàng giữa kho tổng và kho cửa hàng, xử lý hàng lỗi hỏng.</t>
  </si>
  <si>
    <t>Bùi Quốc Luýt</t>
  </si>
  <si>
    <t>Khảo sát kiểm kê và thu thập biểu mẫu</t>
  </si>
  <si>
    <t>Khảo sát quy trình kiểm kê, đối chiếu sổ sách; thu thập 13 biểu mẫu gồm 7 phiếu chứng từ và 6 mẫu báo cáo đang sử dụng.</t>
  </si>
  <si>
    <t>Phạm Đoàn Bảo Thiên</t>
  </si>
  <si>
    <t>Khảo sát thông tin hàng hóa và biến thể</t>
  </si>
  <si>
    <t>Khảo sát cách ghi nhận sản phẩm, loại, màu, size, giá nhập, giá bán, vị trí lưu trữ; xác định cấp quản lý đúng (sản phẩm hay biến thể).</t>
  </si>
  <si>
    <t>Bạch Minh Quang</t>
  </si>
  <si>
    <t>Tổng hợp hiện trạng</t>
  </si>
  <si>
    <t>Tổng hợp kết quả khảo sát, mô tả 4 quy trình cốt lõi, liệt kê hạn chế của cách quản lý bằng sổ sách và Excel, đối chiếu vấn đề với nhu cầu hệ thống.</t>
  </si>
  <si>
    <t>Sau Task 1, 2, 3, 4</t>
  </si>
  <si>
    <t>Xác định mục tiêu, phạm vi và quy tắc nghiệp vụ</t>
  </si>
  <si>
    <t>Xác định mục tiêu đo được, phạm vi trong và ngoài hệ thống, tác nhân và các quy tắc nghiệp vụ QT-01 đến QT-06 (tồn không âm, chỉ đổi tồn khi phiếu hoàn thành...).</t>
  </si>
  <si>
    <t>Sau Task 5</t>
  </si>
  <si>
    <t>Phân tích yêu cầu chức năng và phi chức năng</t>
  </si>
  <si>
    <t>Lập danh sách 19 yêu cầu chức năng (FR) và 11 yêu cầu phi chức năng (NFR) kèm tiêu chí đo về hiệu năng, toàn vẹn dữ liệu, bảo mật.</t>
  </si>
  <si>
    <t>Sau Task 6</t>
  </si>
  <si>
    <t>Xác nhận/chỉnh sửa yêu cầu</t>
  </si>
  <si>
    <t>Trao đổi với quản lý kho và bộ phận bán hàng của doanh nghiệp, tiếp nhận phản hồi và chốt tài liệu đặc tả yêu cầu.</t>
  </si>
  <si>
    <t>Sau Task 7</t>
  </si>
  <si>
    <t>B. PHÂN TÍCH &amp; THIẾT KẾ HỆ THỐNG</t>
  </si>
  <si>
    <t>Xác định tác nhân và ma trận phân quyền</t>
  </si>
  <si>
    <t>Xác định tác nhân Người dùng, Quản lý, Nhân viên kho, Nhân viên bán hàng; lập ma trận phân quyền vai trò - use case làm căn cứ RBAC.</t>
  </si>
  <si>
    <t>Báo cáo phân tích thiết kế (UML)</t>
  </si>
  <si>
    <t>26/09/2026-20/11/2026</t>
  </si>
  <si>
    <t>Sau Task 8</t>
  </si>
  <si>
    <t>Xây dựng biểu đồ use case</t>
  </si>
  <si>
    <t>Vẽ biểu đồ use case tổng quát và phân rã 4 gói: Quản trị hệ thống, Quản lý danh mục, Nghiệp vụ kho, Tồn kho và báo cáo.</t>
  </si>
  <si>
    <t>Sau Task 9</t>
  </si>
  <si>
    <t>Đặc tả use case</t>
  </si>
  <si>
    <t>Đặc tả luồng chính, luồng thay thế, điều kiện trước/sau cho 19 use case, chi tiết nhất cho Nhập kho, Xuất kho, Duyệt điều chỉnh tồn, Đổi trả.</t>
  </si>
  <si>
    <t>Sau Task 10</t>
  </si>
  <si>
    <t>Mô hình lĩnh vực và biểu đồ lớp phân tích</t>
  </si>
  <si>
    <t>Xây dựng mô hình lĩnh vực (sản phẩm, biến thể, kho, tồn kho, phiếu kho, thẻ kho) và biểu đồ lớp phân tích theo mẫu BCE cho các use case trọng tâm.</t>
  </si>
  <si>
    <t>Sau Task 11</t>
  </si>
  <si>
    <t>Thiết kế biểu đồ tuần tự</t>
  </si>
  <si>
    <t>Vẽ 4 biểu đồ tuần tự cho UC Nhập kho, Xuất kho, Duyệt điều chỉnh tồn kho, Xử lý đổi trả hàng.</t>
  </si>
  <si>
    <t>Sau Task 12</t>
  </si>
  <si>
    <t>Vũ Quang Minh</t>
  </si>
  <si>
    <t>Thiết kế biểu đồ hoạt động và trạng thái</t>
  </si>
  <si>
    <t>Vẽ 4 biểu đồ hoạt động (nghiệp vụ tổng quát, yêu cầu và xuất kho, kiểm kê, đổi trả) và 2 biểu đồ trạng thái của PhieuKho, PhieuKiemKe.</t>
  </si>
  <si>
    <t>Thiết kế kiến trúc hệ thống</t>
  </si>
  <si>
    <t>Chọn kiến trúc web 3 tầng (React - Spring Boot - PostgreSQL), chia 6 hệ thống con, tổ chức biểu đồ gói theo BCE và quy tắc phụ thuộc.</t>
  </si>
  <si>
    <t>Thiết kế biểu đồ thành phần và triển khai</t>
  </si>
  <si>
    <t>Mô tả các thành phần phần mềm, REST API cung cấp; bố trí máy chủ ứng dụng, máy chủ CSDL, lưu trữ sao lưu và máy tính bảng tại kho.</t>
  </si>
  <si>
    <t>Sau Task 15</t>
  </si>
  <si>
    <t>Thiết kế lớp chi tiết</t>
  </si>
  <si>
    <t>Chi tiết hóa lớp thiết kế: kiểu dữ liệu, tầm vực, phương thức cho nhóm chứng từ kho, tồn kho và kiểm kê, danh mục hàng hóa và quản trị.</t>
  </si>
  <si>
    <t>Sau Task 13, 15</t>
  </si>
  <si>
    <t>C. THIẾT KẾ CƠ SỞ DỮ LIỆU &amp; GIAO DIỆN</t>
  </si>
  <si>
    <t>Thiết kế lược đồ CSDL</t>
  </si>
  <si>
    <t>Ánh xạ lớp thực thể sang 15 bảng, xác định khóa chính, khóa ngoại, quan hệ giữa sản phẩm, biến thể, kho, tồn kho, phiếu kho và thẻ kho.</t>
  </si>
  <si>
    <t>Lược đồ CSDL &amp; từ điển dữ liệu</t>
  </si>
  <si>
    <t>21/11/2026-25/12/2026</t>
  </si>
  <si>
    <t>Sau Task 17</t>
  </si>
  <si>
    <t>Xây dựng từ điển dữ liệu, ràng buộc và chỉ mục</t>
  </si>
  <si>
    <t>Đặc tả chi tiết từng cột; ràng buộc CHECK tồn không âm, UNIQUE (kho, biến thể), chỉ mục thẻ kho theo (biến thể, kho, thời gian).</t>
  </si>
  <si>
    <t>Sau Task 18</t>
  </si>
  <si>
    <t>Tạo script CSDL PostgreSQL và dữ liệu mẫu</t>
  </si>
  <si>
    <t>Viết script migration tạo bảng, khóa, ràng buộc trên PostgreSQL 16 và bộ dữ liệu mẫu (sản phẩm nhiều màu/size, nhiều kho) phục vụ phát triển.</t>
  </si>
  <si>
    <t>Sau Task 19</t>
  </si>
  <si>
    <t>Thiết kế luồng màn hình và bố cục chung</t>
  </si>
  <si>
    <t>Thiết kế luồng chuyển 10 màn hình, bố cục menu trái hiển thị theo quyền, ô tìm SKU nhận dữ liệu từ máy quét mã vạch, responsive cho máy tính bảng 10 inch.</t>
  </si>
  <si>
    <t>Thiết kế UI/UX hệ thống</t>
  </si>
  <si>
    <t>Thiết kế giao diện đăng nhập và tổng quan</t>
  </si>
  <si>
    <t>Thiết kế MH-01 Đăng nhập và MH-02 Tổng quan hiển thị cảnh báo hết hàng, sắp hết và các phiếu chờ xử lý.</t>
  </si>
  <si>
    <t>Sau Task 21</t>
  </si>
  <si>
    <t>Thiết kế giao diện sản phẩm và biến thể</t>
  </si>
  <si>
    <t>Thiết kế MH-03 quản lý mẫu sản phẩm, sinh ma trận màu x size, khai báo giá nhập, giá bán, tồn tối thiểu cho từng biến thể.</t>
  </si>
  <si>
    <t>Thiết kế giao diện phiếu nhập, xuất, đổi trả</t>
  </si>
  <si>
    <t>Thiết kế MH-04 Lập phiếu nhập kho, MH-05 Xử lý phiếu xuất, MH-08 Đổi trả hàng với thao tác quét hàng, hiển thị tồn khả dụng và thông báo lỗi.</t>
  </si>
  <si>
    <t>Thiết kế giao diện kiểm kê, tra cứu, báo cáo</t>
  </si>
  <si>
    <t>Thiết kế MH-06 Kiểm kê, MH-07 Duyệt kiểm kê, MH-09 Tra cứu tồn kho và thẻ kho, MH-10 Báo cáo với bộ lọc và xuất Excel.</t>
  </si>
  <si>
    <t>D. XÂY DỰNG CHƯƠNG TRÌNH</t>
  </si>
  <si>
    <t>Dựng khung dự án và môi trường phát triển</t>
  </si>
  <si>
    <t>Khởi tạo dự án Spring Boot 3 và ReactJS/TypeScript, cấu hình Docker, kho mã nguồn, quy ước code và pipeline build tự động.</t>
  </si>
  <si>
    <t>Mã nguồn &amp; module chạy được</t>
  </si>
  <si>
    <t>26/12/2026-15/02/2027</t>
  </si>
  <si>
    <t>Sau Task 20</t>
  </si>
  <si>
    <t>Đăng nhập &amp; quản lý tài khoản</t>
  </si>
  <si>
    <t>Xây dựng đăng nhập JWT, đổi mật khẩu, khóa tài khoản sau 5 lần sai; quản lý tài khoản, gán vai trò và kho phụ trách (UC-1.1, UC-1.2).</t>
  </si>
  <si>
    <t>Sau Task 26</t>
  </si>
  <si>
    <t>Quản lý danh mục loại, màu, size, NCC, kho</t>
  </si>
  <si>
    <t>Xây dựng CRUD loại sản phẩm, màu sắc, kích thước, nhà cung cấp, kho và vị trí kho (UC-2.3, UC-2.4, UC-2.5).</t>
  </si>
  <si>
    <t>Quản lý sản phẩm và biến thể</t>
  </si>
  <si>
    <t>Xây dựng quản lý sản phẩm, sinh biến thể theo màu x size, tự sinh mã SKU, tìm kiếm và lọc theo loại, trạng thái (UC-2.1, UC-2.2).</t>
  </si>
  <si>
    <t>Sau Task 28</t>
  </si>
  <si>
    <t>Dịch vụ tồn kho và thẻ kho</t>
  </si>
  <si>
    <t>Xây dựng dịch vụ tăng, trừ, điều chỉnh tồn có khóa dòng (SELECT ... FOR UPDATE), ghi thẻ kho chỉ thêm không sửa, dùng chung cho mọi nghiệp vụ.</t>
  </si>
  <si>
    <t>Sau Task 29</t>
  </si>
  <si>
    <t>Nhập kho</t>
  </si>
  <si>
    <t>Xây dựng lập phiếu nhập theo nhà cung cấp, quét SKU, hoàn tất phiếu trong một giao dịch: cộng tồn, ghi thẻ kho, đổi trạng thái (UC-3.1).</t>
  </si>
  <si>
    <t>Sau Task 30</t>
  </si>
  <si>
    <t>Yêu cầu xuất kho và xuất kho</t>
  </si>
  <si>
    <t>Xây dựng tạo yêu cầu xuất kèm mã đơn hàng cho nhân viên bán hàng; xử lý xuất kho kiểm tra đủ tồn, không cho tồn âm (UC-3.2, UC-3.3).</t>
  </si>
  <si>
    <t>Chuyển kho</t>
  </si>
  <si>
    <t>Xây dựng chuyển hàng giữa các kho qua hai bước xuất đi và xác nhận nhận hàng tại kho đích (UC-3.4).</t>
  </si>
  <si>
    <t>Sau Task 32</t>
  </si>
  <si>
    <t>Kiểm kê và duyệt điều chỉnh tồn kho</t>
  </si>
  <si>
    <t>Xây dựng phiếu kiểm kê theo phạm vi, tự tính chênh lệch = thực tế - hệ thống; Quản lý duyệt, hệ thống sinh phiếu điều chỉnh (UC-3.5, UC-3.6).</t>
  </si>
  <si>
    <t>Xử lý đổi trả hàng</t>
  </si>
  <si>
    <t>Xây dựng tiếp nhận đổi trả: nhập lại hàng tốt vào kho bán, tách hàng lỗi sang kho hàng lỗi, xuất hàng đổi sang, tính tiền chênh lệch (UC-3.7).</t>
  </si>
  <si>
    <t>Hủy hàng</t>
  </si>
  <si>
    <t>Xây dựng lập phiếu hủy hàng lỗi, hỏng; phiếu chỉ trừ tồn sau khi Quản lý duyệt (UC-3.8).</t>
  </si>
  <si>
    <t>Sau Task 35</t>
  </si>
  <si>
    <t>Tra cứu tồn, cảnh báo tồn thấp, thẻ kho</t>
  </si>
  <si>
    <t>Xây dựng tra cứu tồn theo kho, sản phẩm, màu, size, vị trí; cảnh báo hết hàng, sắp hết; truy xuất lịch sử biến động của biến thể (UC-4.1, UC-4.2, UC-4.4).</t>
  </si>
  <si>
    <t>Báo cáo kho và xuất Excel</t>
  </si>
  <si>
    <t>Xây dựng 6 loại báo cáo: tồn kho, nhập, xuất, nhập - xuất - tồn, kiểm kê, hàng tồn lâu; xuất file .xlsx bằng Apache POI (UC-4.3).</t>
  </si>
  <si>
    <t>Sau Task 31, 32, 34</t>
  </si>
  <si>
    <t>Lập trình giao diện web</t>
  </si>
  <si>
    <t>Hiện thực 10 màn hình theo thiết kế trên ReactJS, menu theo quyền, hỗ trợ máy quét mã vạch và kết nối REST API.</t>
  </si>
  <si>
    <t>Sau Task 25, 27</t>
  </si>
  <si>
    <t>E. TÍCH HỢP &amp; KIỂM THỬ</t>
  </si>
  <si>
    <t>Tích hợp các module</t>
  </si>
  <si>
    <t>Kết nối giao diện với các dịch vụ, bảo đảm các hệ thống con Nghiệp vụ kho, Kiểm kê, Báo cáo đều đổi tồn qua dịch vụ Tồn kho và thẻ kho.</t>
  </si>
  <si>
    <t>Báo cáo kiểm thử</t>
  </si>
  <si>
    <t>16/02/2027-15/03/2027</t>
  </si>
  <si>
    <t>Sau Task 39</t>
  </si>
  <si>
    <t>Kiểm thử đăng nhập, phân quyền, danh mục</t>
  </si>
  <si>
    <t>Kiểm thử đăng nhập, khóa tài khoản, truy cập chức năng theo từng vai trò; CRUD danh mục, sinh SKU không trùng.</t>
  </si>
  <si>
    <t>Sau Task 40</t>
  </si>
  <si>
    <t>Kiểm thử nhập, xuất, chuyển kho</t>
  </si>
  <si>
    <t>Kiểm thử cộng trừ tồn, ghi thẻ kho; kiểm thử hai phiếu xuất đồng thời trên cùng biến thể không làm tồn âm (NFR-04).</t>
  </si>
  <si>
    <t>Kiểm thử kiểm kê, đổi trả, hủy hàng</t>
  </si>
  <si>
    <t>Kiểm thử tính chênh lệch, luồng duyệt điều chỉnh, phân loại hàng trả tốt/lỗi, hủy hàng chỉ có hiệu lực sau khi duyệt.</t>
  </si>
  <si>
    <t>Kiểm thử tra cứu và báo cáo</t>
  </si>
  <si>
    <t>Đối chiếu số liệu báo cáo với thẻ kho: tồn cuối = tồn đầu + nhập - xuất ± điều chỉnh; kiểm tra cảnh báo tồn thấp và file Excel xuất ra.</t>
  </si>
  <si>
    <t>Kiểm thử hiệu năng và bảo mật</t>
  </si>
  <si>
    <t>Đo tra cứu tồn dưới 2 giây với 50.000 biến thể và 100 người dùng; báo cáo NXT tháng dưới 10 giây; kiểm tra HTTPS, hết phiên, mã hóa mật khẩu.</t>
  </si>
  <si>
    <t>Kiểm thử toàn hệ thống (UAT)</t>
  </si>
  <si>
    <t>Cho người dùng doanh nghiệp chạy thử các luồng nghiệp vụ trọn vẹn từ nhập hàng, xuất bán, kiểm kê đến lập báo cáo; ghi nhận lỗi và góp ý.</t>
  </si>
  <si>
    <t>Sau Task 41, 42, 43, 44, 45</t>
  </si>
  <si>
    <t>Sửa lỗi &amp; hoàn thiện</t>
  </si>
  <si>
    <t>Phân tích nguyên nhân, sửa các lỗi phát hiện trong quá trình kiểm thử và hoàn thiện hệ thống trước khi nghiệm thu.</t>
  </si>
  <si>
    <t>Sau Task 46</t>
  </si>
  <si>
    <t>F. TRIỂN KHAI &amp; BÀN GIAO</t>
  </si>
  <si>
    <t>Chuẩn bị môi trường triển khai</t>
  </si>
  <si>
    <t>Chuẩn bị máy chủ ứng dụng, máy chủ CSDL, Nginx HTTPS, cấu hình sao lưu hằng ngày giữ 30 bản gần nhất.</t>
  </si>
  <si>
    <t>Tài liệu cấu hình hệ thống</t>
  </si>
  <si>
    <t>16/03/2027-31/03/2027</t>
  </si>
  <si>
    <t>Sau Task 47</t>
  </si>
  <si>
    <t>Chuyển đổi dữ liệu và triển khai hệ thống</t>
  </si>
  <si>
    <t>Chuyển danh mục hàng hóa và số tồn đầu kỳ từ các file Excel hiện có vào hệ thống, triển khai và chạy thử tại kho tổng và cửa hàng.</t>
  </si>
  <si>
    <t>Biên bản nghiệm thu</t>
  </si>
  <si>
    <t>Sau Task 48</t>
  </si>
  <si>
    <t>Viết tài liệu hướng dẫn</t>
  </si>
  <si>
    <t>Viết tài liệu hướng dẫn sử dụng theo vai trò Quản lý, Nhân viên kho, Nhân viên bán hàng và tài liệu vận hành hệ thống.</t>
  </si>
  <si>
    <t>Tài liệu hướng dẫn</t>
  </si>
  <si>
    <t>Báo cáo nghiệm thu</t>
  </si>
  <si>
    <t>Tổng hợp kết quả thực hiện, kết quả kiểm thử, đối chiếu với mục tiêu dự án và lập hồ sơ nghiệm thu.</t>
  </si>
  <si>
    <t>Sau Task 49, 50</t>
  </si>
  <si>
    <t>Đào tạo người dùng</t>
  </si>
  <si>
    <t>Hướng dẫn nhân viên kho và cửa hàng sử dụng hệ thống, máy quét mã vạch; hỗ trợ trong thời gian đầu vận hành.</t>
  </si>
  <si>
    <t>Xác nhận bàn giao</t>
  </si>
  <si>
    <t>Sau Task 51</t>
  </si>
  <si>
    <t>Tổng</t>
  </si>
  <si>
    <t>Thành viên</t>
  </si>
  <si>
    <t>Giai đoạn A</t>
  </si>
  <si>
    <t>Giai đoạn B</t>
  </si>
  <si>
    <t>Giai đoạn C</t>
  </si>
  <si>
    <t>Giai đoạn D</t>
  </si>
  <si>
    <t>Giai đoạn E</t>
  </si>
  <si>
    <t>Giai đoạn F</t>
  </si>
  <si>
    <t>Tổng cộng</t>
  </si>
  <si>
    <t>PHẦN 2 : TÔN CHỈ DỰ ÁN</t>
  </si>
  <si>
    <t>Tôn chỉ dự án (Project Charter)</t>
  </si>
  <si>
    <t xml:space="preserve">1.    Mô tả dự án </t>
  </si>
  <si>
    <t>• Tên dự án: Xây dựng hệ thống quản lý hàng hóa và kho bãi sản phẩm thời trang</t>
  </si>
  <si>
    <t>• Ngày bắt đầu: 01/09/2026</t>
  </si>
  <si>
    <t>• Ngày kết thúc: 31/03/2027</t>
  </si>
  <si>
    <t>• Chủ đầu tư: Doanh nghiệp kinh doanh sản phẩm thời trang (đơn vị được khảo sát)</t>
  </si>
  <si>
    <t>• Kinh phí: 408.196.650 VND (Bốn trăm linh tám triệu một trăm chín mươi sáu nghìn sáu trăm năm mươi đồng)</t>
  </si>
  <si>
    <t>• Giám đốc dự án: Bùi Tuấn Anh</t>
  </si>
  <si>
    <t>• Mục tiêu dự án:
- Mục tiêu tổng quát: Xây dựng thành công hệ thống phần mềm quản lý hàng hóa và kho bãi cho doanh nghiệp kinh doanh thời trang, thay thế việc quản lý bằng sổ sách và nhiều file Excel rời rạc, lấy kho làm trung tâm và quản lý tồn kho đến từng biến thể (sản phẩm + màu + size).
- Mục tiêu cụ thể:
  + Tồn kho của mọi biến thể tại mọi kho được cập nhật ngay khi phiếu kho hoàn tất; sai lệch giữa tồn hệ thống và thực tế sau kiểm kê định kỳ dưới 1%.
  + Không thể xuất kho vượt quá số lượng tồn, kể cả khi nhiều yêu cầu xuất được xử lý đồng thời.
  + Truy xuất được toàn bộ lịch sử biến động của một biến thể (ai, khi nào, chứng từ nào, thay đổi bao nhiêu) trong vài giây.
  + Rút thời gian lập báo cáo nhập - xuất - tồn tháng từ khoảng một ngày làm việc xuống dưới 1 phút.
  + Cảnh báo tự động các biến thể hết hàng hoặc sắp hết để quản lý chủ động nhập bổ sung.</t>
  </si>
  <si>
    <t>- Chức năng nghiệp vụ: Hệ thống cung cấp các chức năng phục vụ hoạt động chính của kho:
  + Quản trị hệ thống: Đăng nhập, đổi mật khẩu, quản lý tài khoản, gán vai trò và kho phụ trách.
  + Quản lý danh mục: Sản phẩm, biến thể theo màu/size với mã SKU, loại sản phẩm, màu sắc, kích thước, nhà cung cấp, kho và vị trí kho.
  + Nhập kho: Lập phiếu nhập theo nhà cung cấp; khi hoàn tất tự động cộng tồn và ghi thẻ kho.
  + Yêu cầu xuất và xuất kho: Bộ phận bán hàng tạo yêu cầu kèm mã đơn hàng; kho kiểm tra đủ tồn, trừ tồn, không cho phép tồn âm.
  + Chuyển kho: Chuyển hàng giữa kho tổng và kho cửa hàng qua hai bước xuất đi và xác nhận nhận hàng.
  + Kiểm kê và điều chỉnh tồn: Ghi nhận số thực tế, tự tính chênh lệch; điều chỉnh tồn chỉ sau khi Quản lý duyệt.
  + Đổi trả và hủy hàng: Nhập lại hàng tốt, tách hàng lỗi sang kho hàng lỗi, tính tiền chênh lệch; hủy hàng lỗi hỏng có phê duyệt.
  + Tra cứu và cảnh báo: Tra cứu tồn theo kho, sản phẩm, màu, size, vị trí; cảnh báo hết hàng, sắp hết so với tồn tối thiểu.
  + Báo cáo và thẻ kho: Báo cáo tồn kho, nhập, xuất, nhập - xuất - tồn, kiểm kê, hàng tồn lâu, xuất Excel; truy xuất lịch sử biến động của biến thể.</t>
  </si>
  <si>
    <t>- Yêu cầu kĩ thuật (Đáp ứng được tiêu chuẩn của một ứng dụng Web):
+ Kiến trúc &amp; Công nghệ: Ứng dụng web 3 tầng; giao diện ReactJS/TypeScript, REST API Java 21 - Spring Boot 3, CSDL PostgreSQL 16, triển khai bằng Docker và Nginx.
+ Giao diện tiếng Việt, hiển thị tốt trên máy tính và máy tính bảng 10 inch; hỗ trợ máy quét mã vạch; chạy trên Chrome, Edge.
+ Toàn vẹn dữ liệu: Hoàn tất phiếu kho là một giao dịch nguyên tử; khóa dòng tồn kho khi cập nhật; thẻ kho chỉ được thêm, lưu tối thiểu 5 năm.
+ Hiệu năng: Tra cứu tồn dưới 2 giây với 50.000 biến thể và 100 người dùng đồng thời; báo cáo nhập - xuất - tồn tháng dưới 10 giây.
+ Bảo mật: Phân quyền theo vai trò (RBAC), mật khẩu băm bcrypt, truy cập qua HTTPS, phiên hết hạn sau 30 phút không thao tác.
+ Khả dụng: Sẵn sàng 99% trong giờ làm việc (7h - 22h); sao lưu CSDL hằng ngày, khôi phục trong 4 giờ.</t>
  </si>
  <si>
    <t>- Yêu cầu khác:
+ Dữ liệu kho được tập trung trên một hệ thống duy nhất, loại bỏ việc mỗi nhân viên tự cập nhật file riêng.
+ Mọi thay đổi số lượng tồn đều đi qua phiếu kho và ghi nhận người thực hiện để kiểm soát thao tác nhân viên.
+ Giao diện trực quan, thao tác quét mã nhanh, giảm tối đa thời gian đào tạo cho nhân viên kho mới.</t>
  </si>
  <si>
    <t>- Phạm vi của dự án:
(1) Nằm trong phạm vi (In-Scope):
+ Phân tích, thiết kế, phát triển và kiểm thử hệ thống quản lý hàng hóa và kho bãi.
+ Quản lý tài khoản và phân quyền; danh mục sản phẩm, biến thể, NCC, kho, vị trí; nhập, xuất, chuyển kho, hủy hàng; kiểm kê và điều chỉnh tồn có phê duyệt; tiếp nhận đổi trả tại kho; tra cứu tồn, cảnh báo, báo cáo và thẻ kho.
+ Chuyển đổi dữ liệu tồn đầu kỳ từ các file Excel hiện có, triển khai, đào tạo và bàn giao cho doanh nghiệp.
(2) Ngoài phạm vi (Out-of-Scope):
+ Bán hàng tại quầy (POS), thanh toán, hóa đơn điện tử.
+ Quản lý đơn đặt hàng với nhà cung cấp, công nợ NCC; kế toán giá vốn, định khoản.
+ Kết nối sàn thương mại điện tử và đơn vị vận chuyển; chăm sóc khách hàng, khuyến mãi.
+ Ứng dụng di động riêng và mua sắm trang thiết bị phần cứng (máy tính bảng, máy quét mã vạch).</t>
  </si>
  <si>
    <t/>
  </si>
  <si>
    <t>- Đối tượng sử dụng: Vai trò và trách nhiệm.</t>
  </si>
  <si>
    <t>Vai trò</t>
  </si>
  <si>
    <t>Họ tên</t>
  </si>
  <si>
    <t>Tổ chức/vị trí</t>
  </si>
  <si>
    <t xml:space="preserve">Liên hệ </t>
  </si>
  <si>
    <t>Organization/Position</t>
  </si>
  <si>
    <t>Contact Information</t>
  </si>
  <si>
    <t>Khách hàng</t>
  </si>
  <si>
    <t>Ban Giám đốc</t>
  </si>
  <si>
    <t>Doanh nghiệp kinh doanh sản phẩm thời trang (đơn vị được khảo sát)</t>
  </si>
  <si>
    <t>Người sử dụng</t>
  </si>
  <si>
    <t>Quản lý, Nhân viên kho, Nhân viên bán hàng</t>
  </si>
  <si>
    <t>Kho tổng, kho cửa hàng và bộ phận bán hàng của doanh nghiệp</t>
  </si>
  <si>
    <t>Giám đốc dự án</t>
  </si>
  <si>
    <t>Trường CNTT&amp;TT - ĐHBK Hà Nội / Giám đốc dự án, Phân tích nghiệp vụ</t>
  </si>
  <si>
    <t>Trưởng nhóm Kỹ thuật (Tech Lead)</t>
  </si>
  <si>
    <t>Trường CNTT&amp;TT - ĐHBK Hà Nội / Trưởng nhóm kỹ thuật, Lập trình Back-end</t>
  </si>
  <si>
    <t>Trường CNTT&amp;TT - ĐHBK Hà Nội / Lập trình Back-end</t>
  </si>
  <si>
    <t>Trường CNTT&amp;TT - ĐHBK Hà Nội / Thiết kế UI/UX, Lập trình Front-end</t>
  </si>
  <si>
    <t>Trường CNTT&amp;TT - ĐHBK Hà Nội / Thiết kế CSDL, Kiểm thử</t>
  </si>
  <si>
    <t>Ký tên</t>
  </si>
  <si>
    <t>2.    Công bố dự án</t>
  </si>
  <si>
    <t>Quyết định khởi công dự án phần mềm</t>
  </si>
  <si>
    <t>(Số 01 Ngày 31/07/2026)</t>
  </si>
  <si>
    <t>Tên dự án</t>
  </si>
  <si>
    <t>Xây dựng hệ thống quản lý hàng hóa và kho bãi sản phẩm thời trang</t>
  </si>
  <si>
    <t>Mã số</t>
  </si>
  <si>
    <t>CNTT20261_N01</t>
  </si>
  <si>
    <t>Chủ đầu tư</t>
  </si>
  <si>
    <t>07 tháng (Từ 01/09/2026 đến 31/03/2027)</t>
  </si>
  <si>
    <t>Quản trị viên</t>
  </si>
  <si>
    <t>Qui mô dự án</t>
  </si>
  <si>
    <t>Dự án phần mềm quy mô vừa, ngân sách 408.196.650 VNĐ
Gồm 5 thành viên đảm nhận các công việc từ khảo sát, phân tích thiết kế, phát triển, kiểm thử đến triển khai.</t>
  </si>
  <si>
    <t>Mục tiêu và các yêu cầu</t>
  </si>
  <si>
    <t>Xây dựng ứng dụng web quản lý tập trung hàng hóa và kho bãi sản phẩm thời trang, quản lý tồn kho theo biến thể màu/size, bảo đảm tồn kho chính xác và truy vết được mọi biến động; đáp ứng các yêu cầu toàn vẹn dữ liệu, hiệu năng, bảo mật, bàn giao đúng hạn ngày 31/03/2027 và tuân thủ ngân sách phê duyệt.</t>
  </si>
  <si>
    <t>(Ký và ghi rõ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</si>
</sst>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Times New Roman"/>
    </font>
    <font>
      <sz val="11"/>
      <color rgb="FFFFFFFF"/>
      <name val="Times New Roman"/>
    </font>
    <font>
      <sz val="11"/>
      <color rgb="FF005975"/>
      <name val="Times New Roman"/>
    </font>
    <font>
      <b/>
      <sz val="11"/>
      <color rgb="FF005975"/>
      <name val="Times New Roman"/>
    </font>
    <font>
      <b/>
      <sz val="12"/>
      <color rgb="FF000000"/>
      <name val="Times New Roman"/>
    </font>
    <font>
      <sz val="12"/>
      <color rgb="FF000000"/>
      <name val="Times New Roman"/>
    </font>
  </fonts>
  <fills count="4">
    <fill>
      <patternFill patternType="none"/>
    </fill>
    <fill>
      <patternFill patternType="gray125"/>
    </fill>
    <fill>
      <patternFill patternType="solid">
        <fgColor rgb="FF0B5394"/>
      </patternFill>
    </fill>
    <fill>
      <patternFill patternType="solid">
        <fgColor rgb="FF3D85C6"/>
      </patternFill>
    </fill>
  </fills>
  <borders count="1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medium">
        <color auto="1"/>
      </left>
      <right style="dotted">
        <color auto="1"/>
      </right>
      <top/>
      <bottom/>
      <diagonal/>
    </border>
    <border>
      <left style="medium">
        <color auto="1"/>
      </left>
      <right style="dotted">
        <color auto="1"/>
      </right>
      <top/>
      <bottom style="dotted">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3" fillId="0" borderId="4" xfId="0" applyFont="1" applyBorder="1" applyAlignment="1">
      <alignment horizontal="righ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right" vertical="center" wrapText="1"/>
    </xf>
    <xf numFmtId="2" fontId="3" fillId="0" borderId="5" xfId="0" applyNumberFormat="1" applyFont="1" applyBorder="1" applyAlignment="1">
      <alignment horizontal="right" vertical="center" wrapText="1"/>
    </xf>
    <xf numFmtId="2" fontId="3" fillId="0" borderId="6" xfId="0" applyNumberFormat="1" applyFont="1" applyBorder="1" applyAlignment="1">
      <alignment horizontal="right" vertical="center" wrapText="1"/>
    </xf>
    <xf numFmtId="0" fontId="4" fillId="0" borderId="13" xfId="0" applyFont="1" applyBorder="1" applyAlignment="1">
      <alignment horizontal="right" vertical="center" wrapText="1"/>
    </xf>
    <xf numFmtId="2" fontId="4" fillId="0" borderId="13" xfId="0" applyNumberFormat="1" applyFont="1" applyBorder="1" applyAlignment="1">
      <alignment horizontal="right" vertical="center" wrapText="1"/>
    </xf>
    <xf numFmtId="2" fontId="4" fillId="0" borderId="14" xfId="0" applyNumberFormat="1" applyFont="1" applyBorder="1" applyAlignment="1">
      <alignment horizontal="righ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3" fillId="0" borderId="4" xfId="0" applyFont="1" applyBorder="1" applyAlignment="1">
      <alignment vertical="center" wrapText="1"/>
    </xf>
    <xf numFmtId="4" fontId="3" fillId="0" borderId="5" xfId="0" applyNumberFormat="1" applyFont="1" applyBorder="1" applyAlignment="1">
      <alignment horizontal="right" vertical="center" wrapText="1"/>
    </xf>
    <xf numFmtId="4" fontId="4" fillId="0" borderId="6" xfId="0" applyNumberFormat="1" applyFont="1" applyBorder="1" applyAlignment="1">
      <alignment horizontal="right" vertical="center" wrapText="1"/>
    </xf>
    <xf numFmtId="0" fontId="1" fillId="2" borderId="18" xfId="0" applyFont="1" applyFill="1" applyBorder="1" applyAlignment="1">
      <alignment vertical="center" wrapText="1"/>
    </xf>
    <xf numFmtId="4" fontId="4" fillId="0" borderId="13" xfId="0" applyNumberFormat="1" applyFont="1" applyBorder="1" applyAlignment="1">
      <alignment horizontal="right" vertical="center" wrapText="1"/>
    </xf>
    <xf numFmtId="4" fontId="4" fillId="0" borderId="14" xfId="0" applyNumberFormat="1" applyFont="1" applyBorder="1" applyAlignment="1">
      <alignment horizontal="righ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1" fillId="3" borderId="2"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3" fillId="0" borderId="5" xfId="0" applyFont="1" applyBorder="1" applyAlignment="1">
      <alignment horizontal="center"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3" fillId="0" borderId="4" xfId="0" applyFont="1" applyBorder="1" applyAlignment="1">
      <alignment horizontal="right" vertical="center" wrapText="1"/>
    </xf>
    <xf numFmtId="0" fontId="3" fillId="0" borderId="5" xfId="0" applyFont="1" applyBorder="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
  <sheetViews>
    <sheetView tabSelected="1" workbookViewId="0">
      <pane ySplit="3" topLeftCell="A4" activePane="bottomLeft" state="frozen"/>
      <selection pane="bottomLeft"/>
    </sheetView>
  </sheetViews>
  <sheetFormatPr defaultRowHeight="15"/>
  <cols>
    <col min="1" max="1" width="5" customWidth="1"/>
    <col min="2" max="2" width="30" customWidth="1"/>
    <col min="3" max="3" width="55" customWidth="1"/>
    <col min="4" max="4" width="22" customWidth="1"/>
    <col min="5" max="6" width="16" customWidth="1"/>
    <col min="7" max="7" width="20" customWidth="1"/>
    <col min="8" max="10" width="8" customWidth="1"/>
    <col min="11" max="11" width="10" customWidth="1"/>
    <col min="12" max="12" width="9" customWidth="1"/>
    <col min="13" max="13" width="10" customWidth="1"/>
  </cols>
  <sheetData>
    <row r="1" spans="1:13">
      <c r="A1" s="29" t="s">
        <v>0</v>
      </c>
      <c r="B1" s="29" t="s">
        <v>1</v>
      </c>
      <c r="C1" s="29" t="s">
        <v>2</v>
      </c>
      <c r="D1" s="29" t="s">
        <v>3</v>
      </c>
      <c r="E1" s="29" t="s">
        <v>4</v>
      </c>
      <c r="F1" s="29" t="s">
        <v>5</v>
      </c>
      <c r="G1" s="29" t="s">
        <v>6</v>
      </c>
      <c r="H1" s="29" t="s">
        <v>7</v>
      </c>
      <c r="I1" s="29"/>
      <c r="J1" s="29"/>
      <c r="K1" s="29"/>
      <c r="L1" s="29"/>
      <c r="M1" s="29"/>
    </row>
    <row r="2" spans="1:13">
      <c r="A2" s="29"/>
      <c r="B2" s="29"/>
      <c r="C2" s="29"/>
      <c r="D2" s="29"/>
      <c r="E2" s="29"/>
      <c r="F2" s="29"/>
      <c r="G2" s="29"/>
      <c r="H2" s="29" t="s">
        <v>8</v>
      </c>
      <c r="I2" s="29" t="s">
        <v>9</v>
      </c>
      <c r="J2" s="29" t="s">
        <v>10</v>
      </c>
      <c r="K2" s="29" t="s">
        <v>11</v>
      </c>
      <c r="L2" s="1" t="s">
        <v>12</v>
      </c>
      <c r="M2" s="29" t="s">
        <v>13</v>
      </c>
    </row>
    <row r="3" spans="1:13">
      <c r="A3" s="29"/>
      <c r="B3" s="29"/>
      <c r="C3" s="29"/>
      <c r="D3" s="29"/>
      <c r="E3" s="29"/>
      <c r="F3" s="29"/>
      <c r="G3" s="29"/>
      <c r="H3" s="29"/>
      <c r="I3" s="29"/>
      <c r="J3" s="29"/>
      <c r="K3" s="29"/>
      <c r="L3" s="2">
        <v>0.1</v>
      </c>
      <c r="M3" s="29"/>
    </row>
    <row r="4" spans="1:13" ht="24" customHeight="1">
      <c r="A4" s="27" t="s">
        <v>14</v>
      </c>
      <c r="B4" s="28"/>
      <c r="C4" s="28"/>
      <c r="D4" s="28"/>
      <c r="E4" s="28"/>
      <c r="F4" s="28"/>
      <c r="G4" s="28"/>
      <c r="H4" s="3"/>
      <c r="I4" s="3"/>
      <c r="J4" s="3"/>
      <c r="K4" s="3"/>
      <c r="L4" s="3"/>
      <c r="M4" s="4"/>
    </row>
    <row r="5" spans="1:13" ht="48" customHeight="1">
      <c r="A5" s="5">
        <v>1</v>
      </c>
      <c r="B5" s="6" t="s">
        <v>15</v>
      </c>
      <c r="C5" s="6" t="s">
        <v>16</v>
      </c>
      <c r="D5" s="6" t="s">
        <v>17</v>
      </c>
      <c r="E5" s="30" t="s">
        <v>18</v>
      </c>
      <c r="F5" s="7" t="s">
        <v>19</v>
      </c>
      <c r="G5" s="6" t="s">
        <v>20</v>
      </c>
      <c r="H5" s="8">
        <v>2</v>
      </c>
      <c r="I5" s="8">
        <v>3</v>
      </c>
      <c r="J5" s="8">
        <v>5</v>
      </c>
      <c r="K5" s="9">
        <f>(H5+4*I5+J5)/6</f>
        <v>3.1666666666666665</v>
      </c>
      <c r="L5" s="9">
        <f>K5*$L$3</f>
        <v>0.31666666666666665</v>
      </c>
      <c r="M5" s="10">
        <f>SUM(K5:L5)</f>
        <v>3.4833333333333334</v>
      </c>
    </row>
    <row r="6" spans="1:13" ht="48" customHeight="1">
      <c r="A6" s="5">
        <v>2</v>
      </c>
      <c r="B6" s="6" t="s">
        <v>21</v>
      </c>
      <c r="C6" s="6" t="s">
        <v>22</v>
      </c>
      <c r="D6" s="6" t="s">
        <v>17</v>
      </c>
      <c r="E6" s="41"/>
      <c r="F6" s="7" t="s">
        <v>19</v>
      </c>
      <c r="G6" s="6" t="s">
        <v>23</v>
      </c>
      <c r="H6" s="8">
        <v>2</v>
      </c>
      <c r="I6" s="8">
        <v>3</v>
      </c>
      <c r="J6" s="8">
        <v>5</v>
      </c>
      <c r="K6" s="9">
        <f>(H6+4*I6+J6)/6</f>
        <v>3.1666666666666665</v>
      </c>
      <c r="L6" s="9">
        <f>K6*$L$3</f>
        <v>0.31666666666666665</v>
      </c>
      <c r="M6" s="10">
        <f>SUM(K6:L6)</f>
        <v>3.4833333333333334</v>
      </c>
    </row>
    <row r="7" spans="1:13" ht="48" customHeight="1">
      <c r="A7" s="5">
        <v>3</v>
      </c>
      <c r="B7" s="6" t="s">
        <v>24</v>
      </c>
      <c r="C7" s="6" t="s">
        <v>25</v>
      </c>
      <c r="D7" s="6" t="s">
        <v>17</v>
      </c>
      <c r="E7" s="41"/>
      <c r="F7" s="7" t="s">
        <v>19</v>
      </c>
      <c r="G7" s="6" t="s">
        <v>26</v>
      </c>
      <c r="H7" s="8">
        <v>2</v>
      </c>
      <c r="I7" s="8">
        <v>4</v>
      </c>
      <c r="J7" s="8">
        <v>6</v>
      </c>
      <c r="K7" s="9">
        <f>(H7+4*I7+J7)/6</f>
        <v>4</v>
      </c>
      <c r="L7" s="9">
        <f>K7*$L$3</f>
        <v>0.4</v>
      </c>
      <c r="M7" s="10">
        <f>SUM(K7:L7)</f>
        <v>4.4000000000000004</v>
      </c>
    </row>
    <row r="8" spans="1:13" ht="48" customHeight="1">
      <c r="A8" s="5">
        <v>4</v>
      </c>
      <c r="B8" s="6" t="s">
        <v>27</v>
      </c>
      <c r="C8" s="6" t="s">
        <v>28</v>
      </c>
      <c r="D8" s="6" t="s">
        <v>17</v>
      </c>
      <c r="E8" s="41"/>
      <c r="F8" s="7" t="s">
        <v>19</v>
      </c>
      <c r="G8" s="6" t="s">
        <v>29</v>
      </c>
      <c r="H8" s="8">
        <v>1</v>
      </c>
      <c r="I8" s="8">
        <v>2</v>
      </c>
      <c r="J8" s="8">
        <v>4</v>
      </c>
      <c r="K8" s="9">
        <f>(H8+4*I8+J8)/6</f>
        <v>2.1666666666666665</v>
      </c>
      <c r="L8" s="9">
        <f>K8*$L$3</f>
        <v>0.21666666666666667</v>
      </c>
      <c r="M8" s="10">
        <f>SUM(K8:L8)</f>
        <v>2.3833333333333333</v>
      </c>
    </row>
    <row r="9" spans="1:13" ht="48" customHeight="1">
      <c r="A9" s="5">
        <v>5</v>
      </c>
      <c r="B9" s="6" t="s">
        <v>30</v>
      </c>
      <c r="C9" s="6" t="s">
        <v>31</v>
      </c>
      <c r="D9" s="6" t="s">
        <v>17</v>
      </c>
      <c r="E9" s="41"/>
      <c r="F9" s="7" t="s">
        <v>32</v>
      </c>
      <c r="G9" s="6" t="s">
        <v>20</v>
      </c>
      <c r="H9" s="8">
        <v>2</v>
      </c>
      <c r="I9" s="8">
        <v>3</v>
      </c>
      <c r="J9" s="8">
        <v>4</v>
      </c>
      <c r="K9" s="9">
        <f>(H9+4*I9+J9)/6</f>
        <v>3</v>
      </c>
      <c r="L9" s="9">
        <f>K9*$L$3</f>
        <v>0.30000000000000004</v>
      </c>
      <c r="M9" s="10">
        <f>SUM(K9:L9)</f>
        <v>3.3</v>
      </c>
    </row>
    <row r="10" spans="1:13" ht="48" customHeight="1">
      <c r="A10" s="5">
        <v>6</v>
      </c>
      <c r="B10" s="6" t="s">
        <v>33</v>
      </c>
      <c r="C10" s="6" t="s">
        <v>34</v>
      </c>
      <c r="D10" s="6" t="s">
        <v>17</v>
      </c>
      <c r="E10" s="41"/>
      <c r="F10" s="7" t="s">
        <v>35</v>
      </c>
      <c r="G10" s="6" t="s">
        <v>20</v>
      </c>
      <c r="H10" s="8">
        <v>2</v>
      </c>
      <c r="I10" s="8">
        <v>3</v>
      </c>
      <c r="J10" s="8">
        <v>4</v>
      </c>
      <c r="K10" s="9">
        <f>(H10+4*I10+J10)/6</f>
        <v>3</v>
      </c>
      <c r="L10" s="9">
        <f>K10*$L$3</f>
        <v>0.30000000000000004</v>
      </c>
      <c r="M10" s="10">
        <f>SUM(K10:L10)</f>
        <v>3.3</v>
      </c>
    </row>
    <row r="11" spans="1:13" ht="48" customHeight="1">
      <c r="A11" s="5">
        <v>7</v>
      </c>
      <c r="B11" s="6" t="s">
        <v>36</v>
      </c>
      <c r="C11" s="6" t="s">
        <v>37</v>
      </c>
      <c r="D11" s="6" t="s">
        <v>17</v>
      </c>
      <c r="E11" s="41"/>
      <c r="F11" s="7" t="s">
        <v>38</v>
      </c>
      <c r="G11" s="6" t="s">
        <v>23</v>
      </c>
      <c r="H11" s="8">
        <v>3</v>
      </c>
      <c r="I11" s="8">
        <v>4</v>
      </c>
      <c r="J11" s="8">
        <v>6</v>
      </c>
      <c r="K11" s="9">
        <f>(H11+4*I11+J11)/6</f>
        <v>4.166666666666667</v>
      </c>
      <c r="L11" s="9">
        <f>K11*$L$3</f>
        <v>0.41666666666666674</v>
      </c>
      <c r="M11" s="10">
        <f>SUM(K11:L11)</f>
        <v>4.5833333333333339</v>
      </c>
    </row>
    <row r="12" spans="1:13" ht="48" customHeight="1">
      <c r="A12" s="5">
        <v>8</v>
      </c>
      <c r="B12" s="6" t="s">
        <v>39</v>
      </c>
      <c r="C12" s="6" t="s">
        <v>40</v>
      </c>
      <c r="D12" s="6" t="s">
        <v>17</v>
      </c>
      <c r="E12" s="42"/>
      <c r="F12" s="7" t="s">
        <v>41</v>
      </c>
      <c r="G12" s="6" t="s">
        <v>20</v>
      </c>
      <c r="H12" s="8">
        <v>1</v>
      </c>
      <c r="I12" s="8">
        <v>2</v>
      </c>
      <c r="J12" s="8">
        <v>3</v>
      </c>
      <c r="K12" s="9">
        <f>(H12+4*I12+J12)/6</f>
        <v>2</v>
      </c>
      <c r="L12" s="9">
        <f>K12*$L$3</f>
        <v>0.2</v>
      </c>
      <c r="M12" s="10">
        <f>SUM(K12:L12)</f>
        <v>2.2000000000000002</v>
      </c>
    </row>
    <row r="13" spans="1:13" ht="24" customHeight="1">
      <c r="A13" s="27" t="s">
        <v>42</v>
      </c>
      <c r="B13" s="28"/>
      <c r="C13" s="28"/>
      <c r="D13" s="28"/>
      <c r="E13" s="28"/>
      <c r="F13" s="28"/>
      <c r="G13" s="28"/>
      <c r="H13" s="3"/>
      <c r="I13" s="3"/>
      <c r="J13" s="3"/>
      <c r="K13" s="3"/>
      <c r="L13" s="3"/>
      <c r="M13" s="4"/>
    </row>
    <row r="14" spans="1:13" ht="48" customHeight="1">
      <c r="A14" s="5">
        <v>9</v>
      </c>
      <c r="B14" s="6" t="s">
        <v>43</v>
      </c>
      <c r="C14" s="6" t="s">
        <v>44</v>
      </c>
      <c r="D14" s="6" t="s">
        <v>45</v>
      </c>
      <c r="E14" s="30" t="s">
        <v>46</v>
      </c>
      <c r="F14" s="7" t="s">
        <v>47</v>
      </c>
      <c r="G14" s="6" t="s">
        <v>20</v>
      </c>
      <c r="H14" s="8">
        <v>1</v>
      </c>
      <c r="I14" s="8">
        <v>2</v>
      </c>
      <c r="J14" s="8">
        <v>3</v>
      </c>
      <c r="K14" s="9">
        <f>(H14+4*I14+J14)/6</f>
        <v>2</v>
      </c>
      <c r="L14" s="9">
        <f>K14*$L$3</f>
        <v>0.2</v>
      </c>
      <c r="M14" s="10">
        <f>SUM(K14:L14)</f>
        <v>2.2000000000000002</v>
      </c>
    </row>
    <row r="15" spans="1:13" ht="48" customHeight="1">
      <c r="A15" s="5">
        <v>10</v>
      </c>
      <c r="B15" s="6" t="s">
        <v>48</v>
      </c>
      <c r="C15" s="6" t="s">
        <v>49</v>
      </c>
      <c r="D15" s="6" t="s">
        <v>45</v>
      </c>
      <c r="E15" s="41"/>
      <c r="F15" s="7" t="s">
        <v>50</v>
      </c>
      <c r="G15" s="6" t="s">
        <v>20</v>
      </c>
      <c r="H15" s="8">
        <v>2</v>
      </c>
      <c r="I15" s="8">
        <v>3</v>
      </c>
      <c r="J15" s="8">
        <v>4</v>
      </c>
      <c r="K15" s="9">
        <f>(H15+4*I15+J15)/6</f>
        <v>3</v>
      </c>
      <c r="L15" s="9">
        <f>K15*$L$3</f>
        <v>0.30000000000000004</v>
      </c>
      <c r="M15" s="10">
        <f>SUM(K15:L15)</f>
        <v>3.3</v>
      </c>
    </row>
    <row r="16" spans="1:13" ht="48" customHeight="1">
      <c r="A16" s="5">
        <v>11</v>
      </c>
      <c r="B16" s="6" t="s">
        <v>51</v>
      </c>
      <c r="C16" s="6" t="s">
        <v>52</v>
      </c>
      <c r="D16" s="6" t="s">
        <v>45</v>
      </c>
      <c r="E16" s="41"/>
      <c r="F16" s="7" t="s">
        <v>53</v>
      </c>
      <c r="G16" s="6" t="s">
        <v>26</v>
      </c>
      <c r="H16" s="8">
        <v>4</v>
      </c>
      <c r="I16" s="8">
        <v>6</v>
      </c>
      <c r="J16" s="8">
        <v>8</v>
      </c>
      <c r="K16" s="9">
        <f>(H16+4*I16+J16)/6</f>
        <v>6</v>
      </c>
      <c r="L16" s="9">
        <f>K16*$L$3</f>
        <v>0.60000000000000009</v>
      </c>
      <c r="M16" s="10">
        <f>SUM(K16:L16)</f>
        <v>6.6</v>
      </c>
    </row>
    <row r="17" spans="1:13" ht="48" customHeight="1">
      <c r="A17" s="5">
        <v>12</v>
      </c>
      <c r="B17" s="6" t="s">
        <v>54</v>
      </c>
      <c r="C17" s="6" t="s">
        <v>55</v>
      </c>
      <c r="D17" s="6" t="s">
        <v>45</v>
      </c>
      <c r="E17" s="41"/>
      <c r="F17" s="7" t="s">
        <v>56</v>
      </c>
      <c r="G17" s="6" t="s">
        <v>20</v>
      </c>
      <c r="H17" s="8">
        <v>3</v>
      </c>
      <c r="I17" s="8">
        <v>5</v>
      </c>
      <c r="J17" s="8">
        <v>7</v>
      </c>
      <c r="K17" s="9">
        <f>(H17+4*I17+J17)/6</f>
        <v>5</v>
      </c>
      <c r="L17" s="9">
        <f>K17*$L$3</f>
        <v>0.5</v>
      </c>
      <c r="M17" s="10">
        <f>SUM(K17:L17)</f>
        <v>5.5</v>
      </c>
    </row>
    <row r="18" spans="1:13" ht="48" customHeight="1">
      <c r="A18" s="5">
        <v>13</v>
      </c>
      <c r="B18" s="6" t="s">
        <v>57</v>
      </c>
      <c r="C18" s="6" t="s">
        <v>58</v>
      </c>
      <c r="D18" s="6" t="s">
        <v>45</v>
      </c>
      <c r="E18" s="41"/>
      <c r="F18" s="7" t="s">
        <v>59</v>
      </c>
      <c r="G18" s="6" t="s">
        <v>60</v>
      </c>
      <c r="H18" s="8">
        <v>3</v>
      </c>
      <c r="I18" s="8">
        <v>5</v>
      </c>
      <c r="J18" s="8">
        <v>7</v>
      </c>
      <c r="K18" s="9">
        <f>(H18+4*I18+J18)/6</f>
        <v>5</v>
      </c>
      <c r="L18" s="9">
        <f>K18*$L$3</f>
        <v>0.5</v>
      </c>
      <c r="M18" s="10">
        <f>SUM(K18:L18)</f>
        <v>5.5</v>
      </c>
    </row>
    <row r="19" spans="1:13" ht="48" customHeight="1">
      <c r="A19" s="5">
        <v>14</v>
      </c>
      <c r="B19" s="6" t="s">
        <v>61</v>
      </c>
      <c r="C19" s="6" t="s">
        <v>62</v>
      </c>
      <c r="D19" s="6" t="s">
        <v>45</v>
      </c>
      <c r="E19" s="41"/>
      <c r="F19" s="7" t="s">
        <v>56</v>
      </c>
      <c r="G19" s="6" t="s">
        <v>29</v>
      </c>
      <c r="H19" s="8">
        <v>3</v>
      </c>
      <c r="I19" s="8">
        <v>4</v>
      </c>
      <c r="J19" s="8">
        <v>6</v>
      </c>
      <c r="K19" s="9">
        <f>(H19+4*I19+J19)/6</f>
        <v>4.166666666666667</v>
      </c>
      <c r="L19" s="9">
        <f>K19*$L$3</f>
        <v>0.41666666666666674</v>
      </c>
      <c r="M19" s="10">
        <f>SUM(K19:L19)</f>
        <v>4.5833333333333339</v>
      </c>
    </row>
    <row r="20" spans="1:13" ht="48" customHeight="1">
      <c r="A20" s="5">
        <v>15</v>
      </c>
      <c r="B20" s="6" t="s">
        <v>63</v>
      </c>
      <c r="C20" s="6" t="s">
        <v>64</v>
      </c>
      <c r="D20" s="6" t="s">
        <v>45</v>
      </c>
      <c r="E20" s="41"/>
      <c r="F20" s="7" t="s">
        <v>59</v>
      </c>
      <c r="G20" s="6" t="s">
        <v>23</v>
      </c>
      <c r="H20" s="8">
        <v>3</v>
      </c>
      <c r="I20" s="8">
        <v>4</v>
      </c>
      <c r="J20" s="8">
        <v>6</v>
      </c>
      <c r="K20" s="9">
        <f>(H20+4*I20+J20)/6</f>
        <v>4.166666666666667</v>
      </c>
      <c r="L20" s="9">
        <f>K20*$L$3</f>
        <v>0.41666666666666674</v>
      </c>
      <c r="M20" s="10">
        <f>SUM(K20:L20)</f>
        <v>4.5833333333333339</v>
      </c>
    </row>
    <row r="21" spans="1:13" ht="48" customHeight="1">
      <c r="A21" s="5">
        <v>16</v>
      </c>
      <c r="B21" s="6" t="s">
        <v>65</v>
      </c>
      <c r="C21" s="6" t="s">
        <v>66</v>
      </c>
      <c r="D21" s="6" t="s">
        <v>45</v>
      </c>
      <c r="E21" s="41"/>
      <c r="F21" s="7" t="s">
        <v>67</v>
      </c>
      <c r="G21" s="6" t="s">
        <v>60</v>
      </c>
      <c r="H21" s="8">
        <v>2</v>
      </c>
      <c r="I21" s="8">
        <v>3</v>
      </c>
      <c r="J21" s="8">
        <v>4</v>
      </c>
      <c r="K21" s="9">
        <f>(H21+4*I21+J21)/6</f>
        <v>3</v>
      </c>
      <c r="L21" s="9">
        <f>K21*$L$3</f>
        <v>0.30000000000000004</v>
      </c>
      <c r="M21" s="10">
        <f>SUM(K21:L21)</f>
        <v>3.3</v>
      </c>
    </row>
    <row r="22" spans="1:13" ht="48" customHeight="1">
      <c r="A22" s="5">
        <v>17</v>
      </c>
      <c r="B22" s="6" t="s">
        <v>68</v>
      </c>
      <c r="C22" s="6" t="s">
        <v>69</v>
      </c>
      <c r="D22" s="6" t="s">
        <v>45</v>
      </c>
      <c r="E22" s="42"/>
      <c r="F22" s="7" t="s">
        <v>70</v>
      </c>
      <c r="G22" s="6" t="s">
        <v>23</v>
      </c>
      <c r="H22" s="8">
        <v>3</v>
      </c>
      <c r="I22" s="8">
        <v>5</v>
      </c>
      <c r="J22" s="8">
        <v>7</v>
      </c>
      <c r="K22" s="9">
        <f>(H22+4*I22+J22)/6</f>
        <v>5</v>
      </c>
      <c r="L22" s="9">
        <f>K22*$L$3</f>
        <v>0.5</v>
      </c>
      <c r="M22" s="10">
        <f>SUM(K22:L22)</f>
        <v>5.5</v>
      </c>
    </row>
    <row r="23" spans="1:13" ht="24" customHeight="1">
      <c r="A23" s="27" t="s">
        <v>71</v>
      </c>
      <c r="B23" s="28"/>
      <c r="C23" s="28"/>
      <c r="D23" s="28"/>
      <c r="E23" s="28"/>
      <c r="F23" s="28"/>
      <c r="G23" s="28"/>
      <c r="H23" s="3"/>
      <c r="I23" s="3"/>
      <c r="J23" s="3"/>
      <c r="K23" s="3"/>
      <c r="L23" s="3"/>
      <c r="M23" s="4"/>
    </row>
    <row r="24" spans="1:13" ht="48" customHeight="1">
      <c r="A24" s="5">
        <v>18</v>
      </c>
      <c r="B24" s="6" t="s">
        <v>72</v>
      </c>
      <c r="C24" s="6" t="s">
        <v>73</v>
      </c>
      <c r="D24" s="6" t="s">
        <v>74</v>
      </c>
      <c r="E24" s="30" t="s">
        <v>75</v>
      </c>
      <c r="F24" s="7" t="s">
        <v>76</v>
      </c>
      <c r="G24" s="6" t="s">
        <v>26</v>
      </c>
      <c r="H24" s="8">
        <v>3</v>
      </c>
      <c r="I24" s="8">
        <v>4</v>
      </c>
      <c r="J24" s="8">
        <v>6</v>
      </c>
      <c r="K24" s="9">
        <f>(H24+4*I24+J24)/6</f>
        <v>4.166666666666667</v>
      </c>
      <c r="L24" s="9">
        <f>K24*$L$3</f>
        <v>0.41666666666666674</v>
      </c>
      <c r="M24" s="10">
        <f>SUM(K24:L24)</f>
        <v>4.5833333333333339</v>
      </c>
    </row>
    <row r="25" spans="1:13" ht="48" customHeight="1">
      <c r="A25" s="5">
        <v>19</v>
      </c>
      <c r="B25" s="6" t="s">
        <v>77</v>
      </c>
      <c r="C25" s="6" t="s">
        <v>78</v>
      </c>
      <c r="D25" s="6" t="s">
        <v>74</v>
      </c>
      <c r="E25" s="41"/>
      <c r="F25" s="7" t="s">
        <v>79</v>
      </c>
      <c r="G25" s="6" t="s">
        <v>26</v>
      </c>
      <c r="H25" s="8">
        <v>2</v>
      </c>
      <c r="I25" s="8">
        <v>4</v>
      </c>
      <c r="J25" s="8">
        <v>5</v>
      </c>
      <c r="K25" s="9">
        <f>(H25+4*I25+J25)/6</f>
        <v>3.8333333333333335</v>
      </c>
      <c r="L25" s="9">
        <f>K25*$L$3</f>
        <v>0.38333333333333336</v>
      </c>
      <c r="M25" s="10">
        <f>SUM(K25:L25)</f>
        <v>4.2166666666666668</v>
      </c>
    </row>
    <row r="26" spans="1:13" ht="48" customHeight="1">
      <c r="A26" s="5">
        <v>20</v>
      </c>
      <c r="B26" s="6" t="s">
        <v>80</v>
      </c>
      <c r="C26" s="6" t="s">
        <v>81</v>
      </c>
      <c r="D26" s="6" t="s">
        <v>74</v>
      </c>
      <c r="E26" s="41"/>
      <c r="F26" s="7" t="s">
        <v>82</v>
      </c>
      <c r="G26" s="6" t="s">
        <v>60</v>
      </c>
      <c r="H26" s="8">
        <v>2</v>
      </c>
      <c r="I26" s="8">
        <v>3</v>
      </c>
      <c r="J26" s="8">
        <v>5</v>
      </c>
      <c r="K26" s="9">
        <f>(H26+4*I26+J26)/6</f>
        <v>3.1666666666666665</v>
      </c>
      <c r="L26" s="9">
        <f>K26*$L$3</f>
        <v>0.31666666666666665</v>
      </c>
      <c r="M26" s="10">
        <f>SUM(K26:L26)</f>
        <v>3.4833333333333334</v>
      </c>
    </row>
    <row r="27" spans="1:13" ht="48" customHeight="1">
      <c r="A27" s="5">
        <v>21</v>
      </c>
      <c r="B27" s="6" t="s">
        <v>83</v>
      </c>
      <c r="C27" s="6" t="s">
        <v>84</v>
      </c>
      <c r="D27" s="6" t="s">
        <v>85</v>
      </c>
      <c r="E27" s="41"/>
      <c r="F27" s="7" t="s">
        <v>76</v>
      </c>
      <c r="G27" s="6" t="s">
        <v>29</v>
      </c>
      <c r="H27" s="8">
        <v>2</v>
      </c>
      <c r="I27" s="8">
        <v>3</v>
      </c>
      <c r="J27" s="8">
        <v>4</v>
      </c>
      <c r="K27" s="9">
        <f>(H27+4*I27+J27)/6</f>
        <v>3</v>
      </c>
      <c r="L27" s="9">
        <f>K27*$L$3</f>
        <v>0.30000000000000004</v>
      </c>
      <c r="M27" s="10">
        <f>SUM(K27:L27)</f>
        <v>3.3</v>
      </c>
    </row>
    <row r="28" spans="1:13" ht="48" customHeight="1">
      <c r="A28" s="5">
        <v>22</v>
      </c>
      <c r="B28" s="6" t="s">
        <v>86</v>
      </c>
      <c r="C28" s="6" t="s">
        <v>87</v>
      </c>
      <c r="D28" s="6" t="s">
        <v>85</v>
      </c>
      <c r="E28" s="41"/>
      <c r="F28" s="7" t="s">
        <v>88</v>
      </c>
      <c r="G28" s="6" t="s">
        <v>29</v>
      </c>
      <c r="H28" s="8">
        <v>1</v>
      </c>
      <c r="I28" s="8">
        <v>2</v>
      </c>
      <c r="J28" s="8">
        <v>3</v>
      </c>
      <c r="K28" s="9">
        <f>(H28+4*I28+J28)/6</f>
        <v>2</v>
      </c>
      <c r="L28" s="9">
        <f>K28*$L$3</f>
        <v>0.2</v>
      </c>
      <c r="M28" s="10">
        <f>SUM(K28:L28)</f>
        <v>2.2000000000000002</v>
      </c>
    </row>
    <row r="29" spans="1:13" ht="48" customHeight="1">
      <c r="A29" s="5">
        <v>23</v>
      </c>
      <c r="B29" s="6" t="s">
        <v>89</v>
      </c>
      <c r="C29" s="6" t="s">
        <v>90</v>
      </c>
      <c r="D29" s="6" t="s">
        <v>85</v>
      </c>
      <c r="E29" s="41"/>
      <c r="F29" s="7" t="s">
        <v>88</v>
      </c>
      <c r="G29" s="6" t="s">
        <v>29</v>
      </c>
      <c r="H29" s="8">
        <v>2</v>
      </c>
      <c r="I29" s="8">
        <v>3</v>
      </c>
      <c r="J29" s="8">
        <v>4</v>
      </c>
      <c r="K29" s="9">
        <f>(H29+4*I29+J29)/6</f>
        <v>3</v>
      </c>
      <c r="L29" s="9">
        <f>K29*$L$3</f>
        <v>0.30000000000000004</v>
      </c>
      <c r="M29" s="10">
        <f>SUM(K29:L29)</f>
        <v>3.3</v>
      </c>
    </row>
    <row r="30" spans="1:13" ht="48" customHeight="1">
      <c r="A30" s="5">
        <v>24</v>
      </c>
      <c r="B30" s="6" t="s">
        <v>91</v>
      </c>
      <c r="C30" s="6" t="s">
        <v>92</v>
      </c>
      <c r="D30" s="6" t="s">
        <v>85</v>
      </c>
      <c r="E30" s="41"/>
      <c r="F30" s="7" t="s">
        <v>88</v>
      </c>
      <c r="G30" s="6" t="s">
        <v>29</v>
      </c>
      <c r="H30" s="8">
        <v>3</v>
      </c>
      <c r="I30" s="8">
        <v>4</v>
      </c>
      <c r="J30" s="8">
        <v>6</v>
      </c>
      <c r="K30" s="9">
        <f>(H30+4*I30+J30)/6</f>
        <v>4.166666666666667</v>
      </c>
      <c r="L30" s="9">
        <f>K30*$L$3</f>
        <v>0.41666666666666674</v>
      </c>
      <c r="M30" s="10">
        <f>SUM(K30:L30)</f>
        <v>4.5833333333333339</v>
      </c>
    </row>
    <row r="31" spans="1:13" ht="48" customHeight="1">
      <c r="A31" s="5">
        <v>25</v>
      </c>
      <c r="B31" s="6" t="s">
        <v>93</v>
      </c>
      <c r="C31" s="6" t="s">
        <v>94</v>
      </c>
      <c r="D31" s="6" t="s">
        <v>85</v>
      </c>
      <c r="E31" s="42"/>
      <c r="F31" s="7" t="s">
        <v>88</v>
      </c>
      <c r="G31" s="6" t="s">
        <v>20</v>
      </c>
      <c r="H31" s="8">
        <v>2</v>
      </c>
      <c r="I31" s="8">
        <v>4</v>
      </c>
      <c r="J31" s="8">
        <v>5</v>
      </c>
      <c r="K31" s="9">
        <f>(H31+4*I31+J31)/6</f>
        <v>3.8333333333333335</v>
      </c>
      <c r="L31" s="9">
        <f>K31*$L$3</f>
        <v>0.38333333333333336</v>
      </c>
      <c r="M31" s="10">
        <f>SUM(K31:L31)</f>
        <v>4.2166666666666668</v>
      </c>
    </row>
    <row r="32" spans="1:13" ht="24" customHeight="1">
      <c r="A32" s="27" t="s">
        <v>95</v>
      </c>
      <c r="B32" s="28"/>
      <c r="C32" s="28"/>
      <c r="D32" s="28"/>
      <c r="E32" s="28"/>
      <c r="F32" s="28"/>
      <c r="G32" s="28"/>
      <c r="H32" s="3"/>
      <c r="I32" s="3"/>
      <c r="J32" s="3"/>
      <c r="K32" s="3"/>
      <c r="L32" s="3"/>
      <c r="M32" s="4"/>
    </row>
    <row r="33" spans="1:13" ht="48" customHeight="1">
      <c r="A33" s="5">
        <v>26</v>
      </c>
      <c r="B33" s="6" t="s">
        <v>96</v>
      </c>
      <c r="C33" s="6" t="s">
        <v>97</v>
      </c>
      <c r="D33" s="6" t="s">
        <v>98</v>
      </c>
      <c r="E33" s="30" t="s">
        <v>99</v>
      </c>
      <c r="F33" s="7" t="s">
        <v>100</v>
      </c>
      <c r="G33" s="6" t="s">
        <v>23</v>
      </c>
      <c r="H33" s="8">
        <v>2</v>
      </c>
      <c r="I33" s="8">
        <v>3</v>
      </c>
      <c r="J33" s="8">
        <v>4</v>
      </c>
      <c r="K33" s="9">
        <f>(H33+4*I33+J33)/6</f>
        <v>3</v>
      </c>
      <c r="L33" s="9">
        <f>K33*$L$3</f>
        <v>0.30000000000000004</v>
      </c>
      <c r="M33" s="10">
        <f>SUM(K33:L33)</f>
        <v>3.3</v>
      </c>
    </row>
    <row r="34" spans="1:13" ht="48" customHeight="1">
      <c r="A34" s="5">
        <v>27</v>
      </c>
      <c r="B34" s="6" t="s">
        <v>101</v>
      </c>
      <c r="C34" s="6" t="s">
        <v>102</v>
      </c>
      <c r="D34" s="6" t="s">
        <v>98</v>
      </c>
      <c r="E34" s="41"/>
      <c r="F34" s="7" t="s">
        <v>103</v>
      </c>
      <c r="G34" s="6" t="s">
        <v>23</v>
      </c>
      <c r="H34" s="8">
        <v>3</v>
      </c>
      <c r="I34" s="8">
        <v>4</v>
      </c>
      <c r="J34" s="8">
        <v>6</v>
      </c>
      <c r="K34" s="9">
        <f>(H34+4*I34+J34)/6</f>
        <v>4.166666666666667</v>
      </c>
      <c r="L34" s="9">
        <f>K34*$L$3</f>
        <v>0.41666666666666674</v>
      </c>
      <c r="M34" s="10">
        <f>SUM(K34:L34)</f>
        <v>4.5833333333333339</v>
      </c>
    </row>
    <row r="35" spans="1:13" ht="48" customHeight="1">
      <c r="A35" s="5">
        <v>28</v>
      </c>
      <c r="B35" s="6" t="s">
        <v>104</v>
      </c>
      <c r="C35" s="6" t="s">
        <v>105</v>
      </c>
      <c r="D35" s="6" t="s">
        <v>98</v>
      </c>
      <c r="E35" s="41"/>
      <c r="F35" s="7" t="s">
        <v>103</v>
      </c>
      <c r="G35" s="6" t="s">
        <v>60</v>
      </c>
      <c r="H35" s="8">
        <v>3</v>
      </c>
      <c r="I35" s="8">
        <v>4</v>
      </c>
      <c r="J35" s="8">
        <v>6</v>
      </c>
      <c r="K35" s="9">
        <f>(H35+4*I35+J35)/6</f>
        <v>4.166666666666667</v>
      </c>
      <c r="L35" s="9">
        <f>K35*$L$3</f>
        <v>0.41666666666666674</v>
      </c>
      <c r="M35" s="10">
        <f>SUM(K35:L35)</f>
        <v>4.5833333333333339</v>
      </c>
    </row>
    <row r="36" spans="1:13" ht="48" customHeight="1">
      <c r="A36" s="5">
        <v>29</v>
      </c>
      <c r="B36" s="6" t="s">
        <v>106</v>
      </c>
      <c r="C36" s="6" t="s">
        <v>107</v>
      </c>
      <c r="D36" s="6" t="s">
        <v>98</v>
      </c>
      <c r="E36" s="41"/>
      <c r="F36" s="7" t="s">
        <v>108</v>
      </c>
      <c r="G36" s="6" t="s">
        <v>60</v>
      </c>
      <c r="H36" s="8">
        <v>3</v>
      </c>
      <c r="I36" s="8">
        <v>5</v>
      </c>
      <c r="J36" s="8">
        <v>7</v>
      </c>
      <c r="K36" s="9">
        <f>(H36+4*I36+J36)/6</f>
        <v>5</v>
      </c>
      <c r="L36" s="9">
        <f>K36*$L$3</f>
        <v>0.5</v>
      </c>
      <c r="M36" s="10">
        <f>SUM(K36:L36)</f>
        <v>5.5</v>
      </c>
    </row>
    <row r="37" spans="1:13" ht="48" customHeight="1">
      <c r="A37" s="5">
        <v>30</v>
      </c>
      <c r="B37" s="6" t="s">
        <v>109</v>
      </c>
      <c r="C37" s="6" t="s">
        <v>110</v>
      </c>
      <c r="D37" s="6" t="s">
        <v>98</v>
      </c>
      <c r="E37" s="41"/>
      <c r="F37" s="7" t="s">
        <v>111</v>
      </c>
      <c r="G37" s="6" t="s">
        <v>23</v>
      </c>
      <c r="H37" s="8">
        <v>4</v>
      </c>
      <c r="I37" s="8">
        <v>5</v>
      </c>
      <c r="J37" s="8">
        <v>8</v>
      </c>
      <c r="K37" s="9">
        <f>(H37+4*I37+J37)/6</f>
        <v>5.333333333333333</v>
      </c>
      <c r="L37" s="9">
        <f>K37*$L$3</f>
        <v>0.53333333333333333</v>
      </c>
      <c r="M37" s="10">
        <f>SUM(K37:L37)</f>
        <v>5.8666666666666663</v>
      </c>
    </row>
    <row r="38" spans="1:13" ht="48" customHeight="1">
      <c r="A38" s="5">
        <v>31</v>
      </c>
      <c r="B38" s="6" t="s">
        <v>112</v>
      </c>
      <c r="C38" s="6" t="s">
        <v>113</v>
      </c>
      <c r="D38" s="6" t="s">
        <v>98</v>
      </c>
      <c r="E38" s="41"/>
      <c r="F38" s="7" t="s">
        <v>114</v>
      </c>
      <c r="G38" s="6" t="s">
        <v>60</v>
      </c>
      <c r="H38" s="8">
        <v>3</v>
      </c>
      <c r="I38" s="8">
        <v>4</v>
      </c>
      <c r="J38" s="8">
        <v>6</v>
      </c>
      <c r="K38" s="9">
        <f>(H38+4*I38+J38)/6</f>
        <v>4.166666666666667</v>
      </c>
      <c r="L38" s="9">
        <f>K38*$L$3</f>
        <v>0.41666666666666674</v>
      </c>
      <c r="M38" s="10">
        <f>SUM(K38:L38)</f>
        <v>4.5833333333333339</v>
      </c>
    </row>
    <row r="39" spans="1:13" ht="48" customHeight="1">
      <c r="A39" s="5">
        <v>32</v>
      </c>
      <c r="B39" s="6" t="s">
        <v>115</v>
      </c>
      <c r="C39" s="6" t="s">
        <v>116</v>
      </c>
      <c r="D39" s="6" t="s">
        <v>98</v>
      </c>
      <c r="E39" s="41"/>
      <c r="F39" s="7" t="s">
        <v>114</v>
      </c>
      <c r="G39" s="6" t="s">
        <v>23</v>
      </c>
      <c r="H39" s="8">
        <v>4</v>
      </c>
      <c r="I39" s="8">
        <v>5</v>
      </c>
      <c r="J39" s="8">
        <v>7</v>
      </c>
      <c r="K39" s="9">
        <f>(H39+4*I39+J39)/6</f>
        <v>5.166666666666667</v>
      </c>
      <c r="L39" s="9">
        <f>K39*$L$3</f>
        <v>0.51666666666666672</v>
      </c>
      <c r="M39" s="10">
        <f>SUM(K39:L39)</f>
        <v>5.6833333333333336</v>
      </c>
    </row>
    <row r="40" spans="1:13" ht="48" customHeight="1">
      <c r="A40" s="5">
        <v>33</v>
      </c>
      <c r="B40" s="6" t="s">
        <v>117</v>
      </c>
      <c r="C40" s="6" t="s">
        <v>118</v>
      </c>
      <c r="D40" s="6" t="s">
        <v>98</v>
      </c>
      <c r="E40" s="41"/>
      <c r="F40" s="7" t="s">
        <v>119</v>
      </c>
      <c r="G40" s="6" t="s">
        <v>60</v>
      </c>
      <c r="H40" s="8">
        <v>2</v>
      </c>
      <c r="I40" s="8">
        <v>3</v>
      </c>
      <c r="J40" s="8">
        <v>5</v>
      </c>
      <c r="K40" s="9">
        <f>(H40+4*I40+J40)/6</f>
        <v>3.1666666666666665</v>
      </c>
      <c r="L40" s="9">
        <f>K40*$L$3</f>
        <v>0.31666666666666665</v>
      </c>
      <c r="M40" s="10">
        <f>SUM(K40:L40)</f>
        <v>3.4833333333333334</v>
      </c>
    </row>
    <row r="41" spans="1:13" ht="48" customHeight="1">
      <c r="A41" s="5">
        <v>34</v>
      </c>
      <c r="B41" s="6" t="s">
        <v>120</v>
      </c>
      <c r="C41" s="6" t="s">
        <v>121</v>
      </c>
      <c r="D41" s="6" t="s">
        <v>98</v>
      </c>
      <c r="E41" s="41"/>
      <c r="F41" s="7" t="s">
        <v>114</v>
      </c>
      <c r="G41" s="6" t="s">
        <v>26</v>
      </c>
      <c r="H41" s="8">
        <v>4</v>
      </c>
      <c r="I41" s="8">
        <v>5</v>
      </c>
      <c r="J41" s="8">
        <v>7</v>
      </c>
      <c r="K41" s="9">
        <f>(H41+4*I41+J41)/6</f>
        <v>5.166666666666667</v>
      </c>
      <c r="L41" s="9">
        <f>K41*$L$3</f>
        <v>0.51666666666666672</v>
      </c>
      <c r="M41" s="10">
        <f>SUM(K41:L41)</f>
        <v>5.6833333333333336</v>
      </c>
    </row>
    <row r="42" spans="1:13" ht="48" customHeight="1">
      <c r="A42" s="5">
        <v>35</v>
      </c>
      <c r="B42" s="6" t="s">
        <v>122</v>
      </c>
      <c r="C42" s="6" t="s">
        <v>123</v>
      </c>
      <c r="D42" s="6" t="s">
        <v>98</v>
      </c>
      <c r="E42" s="41"/>
      <c r="F42" s="7" t="s">
        <v>119</v>
      </c>
      <c r="G42" s="6" t="s">
        <v>26</v>
      </c>
      <c r="H42" s="8">
        <v>3</v>
      </c>
      <c r="I42" s="8">
        <v>4</v>
      </c>
      <c r="J42" s="8">
        <v>6</v>
      </c>
      <c r="K42" s="9">
        <f>(H42+4*I42+J42)/6</f>
        <v>4.166666666666667</v>
      </c>
      <c r="L42" s="9">
        <f>K42*$L$3</f>
        <v>0.41666666666666674</v>
      </c>
      <c r="M42" s="10">
        <f>SUM(K42:L42)</f>
        <v>4.5833333333333339</v>
      </c>
    </row>
    <row r="43" spans="1:13" ht="48" customHeight="1">
      <c r="A43" s="5">
        <v>36</v>
      </c>
      <c r="B43" s="6" t="s">
        <v>124</v>
      </c>
      <c r="C43" s="6" t="s">
        <v>125</v>
      </c>
      <c r="D43" s="6" t="s">
        <v>98</v>
      </c>
      <c r="E43" s="41"/>
      <c r="F43" s="7" t="s">
        <v>126</v>
      </c>
      <c r="G43" s="6" t="s">
        <v>26</v>
      </c>
      <c r="H43" s="8">
        <v>1</v>
      </c>
      <c r="I43" s="8">
        <v>2</v>
      </c>
      <c r="J43" s="8">
        <v>3</v>
      </c>
      <c r="K43" s="9">
        <f>(H43+4*I43+J43)/6</f>
        <v>2</v>
      </c>
      <c r="L43" s="9">
        <f>K43*$L$3</f>
        <v>0.2</v>
      </c>
      <c r="M43" s="10">
        <f>SUM(K43:L43)</f>
        <v>2.2000000000000002</v>
      </c>
    </row>
    <row r="44" spans="1:13" ht="48" customHeight="1">
      <c r="A44" s="5">
        <v>37</v>
      </c>
      <c r="B44" s="6" t="s">
        <v>127</v>
      </c>
      <c r="C44" s="6" t="s">
        <v>128</v>
      </c>
      <c r="D44" s="6" t="s">
        <v>98</v>
      </c>
      <c r="E44" s="41"/>
      <c r="F44" s="7" t="s">
        <v>114</v>
      </c>
      <c r="G44" s="6" t="s">
        <v>29</v>
      </c>
      <c r="H44" s="8">
        <v>3</v>
      </c>
      <c r="I44" s="8">
        <v>4</v>
      </c>
      <c r="J44" s="8">
        <v>6</v>
      </c>
      <c r="K44" s="9">
        <f>(H44+4*I44+J44)/6</f>
        <v>4.166666666666667</v>
      </c>
      <c r="L44" s="9">
        <f>K44*$L$3</f>
        <v>0.41666666666666674</v>
      </c>
      <c r="M44" s="10">
        <f>SUM(K44:L44)</f>
        <v>4.5833333333333339</v>
      </c>
    </row>
    <row r="45" spans="1:13" ht="48" customHeight="1">
      <c r="A45" s="5">
        <v>38</v>
      </c>
      <c r="B45" s="6" t="s">
        <v>129</v>
      </c>
      <c r="C45" s="6" t="s">
        <v>130</v>
      </c>
      <c r="D45" s="6" t="s">
        <v>98</v>
      </c>
      <c r="E45" s="41"/>
      <c r="F45" s="7" t="s">
        <v>131</v>
      </c>
      <c r="G45" s="6" t="s">
        <v>20</v>
      </c>
      <c r="H45" s="8">
        <v>4</v>
      </c>
      <c r="I45" s="8">
        <v>5</v>
      </c>
      <c r="J45" s="8">
        <v>7</v>
      </c>
      <c r="K45" s="9">
        <f>(H45+4*I45+J45)/6</f>
        <v>5.166666666666667</v>
      </c>
      <c r="L45" s="9">
        <f>K45*$L$3</f>
        <v>0.51666666666666672</v>
      </c>
      <c r="M45" s="10">
        <f>SUM(K45:L45)</f>
        <v>5.6833333333333336</v>
      </c>
    </row>
    <row r="46" spans="1:13" ht="48" customHeight="1">
      <c r="A46" s="5">
        <v>39</v>
      </c>
      <c r="B46" s="6" t="s">
        <v>132</v>
      </c>
      <c r="C46" s="6" t="s">
        <v>133</v>
      </c>
      <c r="D46" s="6" t="s">
        <v>98</v>
      </c>
      <c r="E46" s="42"/>
      <c r="F46" s="7" t="s">
        <v>134</v>
      </c>
      <c r="G46" s="6" t="s">
        <v>29</v>
      </c>
      <c r="H46" s="8">
        <v>6</v>
      </c>
      <c r="I46" s="8">
        <v>8</v>
      </c>
      <c r="J46" s="8">
        <v>11</v>
      </c>
      <c r="K46" s="9">
        <f>(H46+4*I46+J46)/6</f>
        <v>8.1666666666666661</v>
      </c>
      <c r="L46" s="9">
        <f>K46*$L$3</f>
        <v>0.81666666666666665</v>
      </c>
      <c r="M46" s="10">
        <f>SUM(K46:L46)</f>
        <v>8.9833333333333325</v>
      </c>
    </row>
    <row r="47" spans="1:13" ht="24" customHeight="1">
      <c r="A47" s="27" t="s">
        <v>135</v>
      </c>
      <c r="B47" s="28"/>
      <c r="C47" s="28"/>
      <c r="D47" s="28"/>
      <c r="E47" s="28"/>
      <c r="F47" s="28"/>
      <c r="G47" s="28"/>
      <c r="H47" s="3"/>
      <c r="I47" s="3"/>
      <c r="J47" s="3"/>
      <c r="K47" s="3"/>
      <c r="L47" s="3"/>
      <c r="M47" s="4"/>
    </row>
    <row r="48" spans="1:13" ht="48" customHeight="1">
      <c r="A48" s="5">
        <v>40</v>
      </c>
      <c r="B48" s="6" t="s">
        <v>136</v>
      </c>
      <c r="C48" s="6" t="s">
        <v>137</v>
      </c>
      <c r="D48" s="6" t="s">
        <v>138</v>
      </c>
      <c r="E48" s="30" t="s">
        <v>139</v>
      </c>
      <c r="F48" s="7" t="s">
        <v>140</v>
      </c>
      <c r="G48" s="6" t="s">
        <v>23</v>
      </c>
      <c r="H48" s="8">
        <v>3</v>
      </c>
      <c r="I48" s="8">
        <v>4</v>
      </c>
      <c r="J48" s="8">
        <v>6</v>
      </c>
      <c r="K48" s="9">
        <f>(H48+4*I48+J48)/6</f>
        <v>4.166666666666667</v>
      </c>
      <c r="L48" s="9">
        <f>K48*$L$3</f>
        <v>0.41666666666666674</v>
      </c>
      <c r="M48" s="10">
        <f>SUM(K48:L48)</f>
        <v>4.5833333333333339</v>
      </c>
    </row>
    <row r="49" spans="1:13" ht="48" customHeight="1">
      <c r="A49" s="5">
        <v>41</v>
      </c>
      <c r="B49" s="6" t="s">
        <v>141</v>
      </c>
      <c r="C49" s="6" t="s">
        <v>142</v>
      </c>
      <c r="D49" s="6" t="s">
        <v>138</v>
      </c>
      <c r="E49" s="41"/>
      <c r="F49" s="7" t="s">
        <v>143</v>
      </c>
      <c r="G49" s="6" t="s">
        <v>29</v>
      </c>
      <c r="H49" s="8">
        <v>2</v>
      </c>
      <c r="I49" s="8">
        <v>3</v>
      </c>
      <c r="J49" s="8">
        <v>4</v>
      </c>
      <c r="K49" s="9">
        <f>(H49+4*I49+J49)/6</f>
        <v>3</v>
      </c>
      <c r="L49" s="9">
        <f>K49*$L$3</f>
        <v>0.30000000000000004</v>
      </c>
      <c r="M49" s="10">
        <f>SUM(K49:L49)</f>
        <v>3.3</v>
      </c>
    </row>
    <row r="50" spans="1:13" ht="48" customHeight="1">
      <c r="A50" s="5">
        <v>42</v>
      </c>
      <c r="B50" s="6" t="s">
        <v>144</v>
      </c>
      <c r="C50" s="6" t="s">
        <v>145</v>
      </c>
      <c r="D50" s="6" t="s">
        <v>138</v>
      </c>
      <c r="E50" s="41"/>
      <c r="F50" s="7" t="s">
        <v>143</v>
      </c>
      <c r="G50" s="6" t="s">
        <v>26</v>
      </c>
      <c r="H50" s="8">
        <v>3</v>
      </c>
      <c r="I50" s="8">
        <v>4</v>
      </c>
      <c r="J50" s="8">
        <v>6</v>
      </c>
      <c r="K50" s="9">
        <f>(H50+4*I50+J50)/6</f>
        <v>4.166666666666667</v>
      </c>
      <c r="L50" s="9">
        <f>K50*$L$3</f>
        <v>0.41666666666666674</v>
      </c>
      <c r="M50" s="10">
        <f>SUM(K50:L50)</f>
        <v>4.5833333333333339</v>
      </c>
    </row>
    <row r="51" spans="1:13" ht="48" customHeight="1">
      <c r="A51" s="5">
        <v>43</v>
      </c>
      <c r="B51" s="6" t="s">
        <v>146</v>
      </c>
      <c r="C51" s="6" t="s">
        <v>147</v>
      </c>
      <c r="D51" s="6" t="s">
        <v>138</v>
      </c>
      <c r="E51" s="41"/>
      <c r="F51" s="7" t="s">
        <v>143</v>
      </c>
      <c r="G51" s="6" t="s">
        <v>60</v>
      </c>
      <c r="H51" s="8">
        <v>2</v>
      </c>
      <c r="I51" s="8">
        <v>3</v>
      </c>
      <c r="J51" s="8">
        <v>5</v>
      </c>
      <c r="K51" s="9">
        <f>(H51+4*I51+J51)/6</f>
        <v>3.1666666666666665</v>
      </c>
      <c r="L51" s="9">
        <f>K51*$L$3</f>
        <v>0.31666666666666665</v>
      </c>
      <c r="M51" s="10">
        <f>SUM(K51:L51)</f>
        <v>3.4833333333333334</v>
      </c>
    </row>
    <row r="52" spans="1:13" ht="48" customHeight="1">
      <c r="A52" s="5">
        <v>44</v>
      </c>
      <c r="B52" s="6" t="s">
        <v>148</v>
      </c>
      <c r="C52" s="6" t="s">
        <v>149</v>
      </c>
      <c r="D52" s="6" t="s">
        <v>138</v>
      </c>
      <c r="E52" s="41"/>
      <c r="F52" s="7" t="s">
        <v>143</v>
      </c>
      <c r="G52" s="6" t="s">
        <v>20</v>
      </c>
      <c r="H52" s="8">
        <v>2</v>
      </c>
      <c r="I52" s="8">
        <v>3</v>
      </c>
      <c r="J52" s="8">
        <v>4</v>
      </c>
      <c r="K52" s="9">
        <f>(H52+4*I52+J52)/6</f>
        <v>3</v>
      </c>
      <c r="L52" s="9">
        <f>K52*$L$3</f>
        <v>0.30000000000000004</v>
      </c>
      <c r="M52" s="10">
        <f>SUM(K52:L52)</f>
        <v>3.3</v>
      </c>
    </row>
    <row r="53" spans="1:13" ht="48" customHeight="1">
      <c r="A53" s="5">
        <v>45</v>
      </c>
      <c r="B53" s="6" t="s">
        <v>150</v>
      </c>
      <c r="C53" s="6" t="s">
        <v>151</v>
      </c>
      <c r="D53" s="6" t="s">
        <v>138</v>
      </c>
      <c r="E53" s="41"/>
      <c r="F53" s="7" t="s">
        <v>143</v>
      </c>
      <c r="G53" s="6" t="s">
        <v>26</v>
      </c>
      <c r="H53" s="8">
        <v>2</v>
      </c>
      <c r="I53" s="8">
        <v>3</v>
      </c>
      <c r="J53" s="8">
        <v>5</v>
      </c>
      <c r="K53" s="9">
        <f>(H53+4*I53+J53)/6</f>
        <v>3.1666666666666665</v>
      </c>
      <c r="L53" s="9">
        <f>K53*$L$3</f>
        <v>0.31666666666666665</v>
      </c>
      <c r="M53" s="10">
        <f>SUM(K53:L53)</f>
        <v>3.4833333333333334</v>
      </c>
    </row>
    <row r="54" spans="1:13" ht="48" customHeight="1">
      <c r="A54" s="5">
        <v>46</v>
      </c>
      <c r="B54" s="6" t="s">
        <v>152</v>
      </c>
      <c r="C54" s="6" t="s">
        <v>153</v>
      </c>
      <c r="D54" s="6" t="s">
        <v>138</v>
      </c>
      <c r="E54" s="41"/>
      <c r="F54" s="7" t="s">
        <v>154</v>
      </c>
      <c r="G54" s="6" t="s">
        <v>20</v>
      </c>
      <c r="H54" s="8">
        <v>3</v>
      </c>
      <c r="I54" s="8">
        <v>4</v>
      </c>
      <c r="J54" s="8">
        <v>6</v>
      </c>
      <c r="K54" s="9">
        <f>(H54+4*I54+J54)/6</f>
        <v>4.166666666666667</v>
      </c>
      <c r="L54" s="9">
        <f>K54*$L$3</f>
        <v>0.41666666666666674</v>
      </c>
      <c r="M54" s="10">
        <f>SUM(K54:L54)</f>
        <v>4.5833333333333339</v>
      </c>
    </row>
    <row r="55" spans="1:13" ht="21.95" customHeight="1">
      <c r="A55" s="33">
        <v>47</v>
      </c>
      <c r="B55" s="34" t="s">
        <v>155</v>
      </c>
      <c r="C55" s="34" t="s">
        <v>156</v>
      </c>
      <c r="D55" s="34" t="s">
        <v>138</v>
      </c>
      <c r="E55" s="41"/>
      <c r="F55" s="30" t="s">
        <v>157</v>
      </c>
      <c r="G55" s="6" t="s">
        <v>23</v>
      </c>
      <c r="H55" s="8">
        <v>3</v>
      </c>
      <c r="I55" s="8">
        <v>4</v>
      </c>
      <c r="J55" s="8">
        <v>6</v>
      </c>
      <c r="K55" s="9">
        <f>(H55+4*I55+J55)/6</f>
        <v>4.166666666666667</v>
      </c>
      <c r="L55" s="9">
        <f>K55*$L$3</f>
        <v>0.41666666666666674</v>
      </c>
      <c r="M55" s="10">
        <f>SUM(K55:L55)</f>
        <v>4.5833333333333339</v>
      </c>
    </row>
    <row r="56" spans="1:13" ht="21.95" customHeight="1">
      <c r="A56" s="43"/>
      <c r="B56" s="41"/>
      <c r="C56" s="41"/>
      <c r="D56" s="41"/>
      <c r="E56" s="41"/>
      <c r="F56" s="41"/>
      <c r="G56" s="6" t="s">
        <v>60</v>
      </c>
      <c r="H56" s="8">
        <v>3</v>
      </c>
      <c r="I56" s="8">
        <v>4</v>
      </c>
      <c r="J56" s="8">
        <v>6</v>
      </c>
      <c r="K56" s="9">
        <f>(H56+4*I56+J56)/6</f>
        <v>4.166666666666667</v>
      </c>
      <c r="L56" s="9">
        <f>K56*$L$3</f>
        <v>0.41666666666666674</v>
      </c>
      <c r="M56" s="10">
        <f>SUM(K56:L56)</f>
        <v>4.5833333333333339</v>
      </c>
    </row>
    <row r="57" spans="1:13" ht="21.95" customHeight="1">
      <c r="A57" s="44"/>
      <c r="B57" s="42"/>
      <c r="C57" s="42"/>
      <c r="D57" s="42"/>
      <c r="E57" s="42"/>
      <c r="F57" s="42"/>
      <c r="G57" s="6" t="s">
        <v>29</v>
      </c>
      <c r="H57" s="8">
        <v>3</v>
      </c>
      <c r="I57" s="8">
        <v>4</v>
      </c>
      <c r="J57" s="8">
        <v>6</v>
      </c>
      <c r="K57" s="9">
        <f>(H57+4*I57+J57)/6</f>
        <v>4.166666666666667</v>
      </c>
      <c r="L57" s="9">
        <f>K57*$L$3</f>
        <v>0.41666666666666674</v>
      </c>
      <c r="M57" s="10">
        <f>SUM(K57:L57)</f>
        <v>4.5833333333333339</v>
      </c>
    </row>
    <row r="58" spans="1:13" ht="24" customHeight="1">
      <c r="A58" s="27" t="s">
        <v>158</v>
      </c>
      <c r="B58" s="28"/>
      <c r="C58" s="28"/>
      <c r="D58" s="28"/>
      <c r="E58" s="28"/>
      <c r="F58" s="28"/>
      <c r="G58" s="28"/>
      <c r="H58" s="3"/>
      <c r="I58" s="3"/>
      <c r="J58" s="3"/>
      <c r="K58" s="3"/>
      <c r="L58" s="3"/>
      <c r="M58" s="4"/>
    </row>
    <row r="59" spans="1:13" ht="48" customHeight="1">
      <c r="A59" s="5">
        <v>48</v>
      </c>
      <c r="B59" s="6" t="s">
        <v>159</v>
      </c>
      <c r="C59" s="6" t="s">
        <v>160</v>
      </c>
      <c r="D59" s="6" t="s">
        <v>161</v>
      </c>
      <c r="E59" s="30" t="s">
        <v>162</v>
      </c>
      <c r="F59" s="7" t="s">
        <v>163</v>
      </c>
      <c r="G59" s="6" t="s">
        <v>23</v>
      </c>
      <c r="H59" s="8">
        <v>1</v>
      </c>
      <c r="I59" s="8">
        <v>2</v>
      </c>
      <c r="J59" s="8">
        <v>3</v>
      </c>
      <c r="K59" s="9">
        <f>(H59+4*I59+J59)/6</f>
        <v>2</v>
      </c>
      <c r="L59" s="9">
        <f>K59*$L$3</f>
        <v>0.2</v>
      </c>
      <c r="M59" s="10">
        <f>SUM(K59:L59)</f>
        <v>2.2000000000000002</v>
      </c>
    </row>
    <row r="60" spans="1:13" ht="48" customHeight="1">
      <c r="A60" s="5">
        <v>49</v>
      </c>
      <c r="B60" s="6" t="s">
        <v>164</v>
      </c>
      <c r="C60" s="6" t="s">
        <v>165</v>
      </c>
      <c r="D60" s="6" t="s">
        <v>166</v>
      </c>
      <c r="E60" s="41"/>
      <c r="F60" s="7" t="s">
        <v>167</v>
      </c>
      <c r="G60" s="6" t="s">
        <v>60</v>
      </c>
      <c r="H60" s="8">
        <v>2</v>
      </c>
      <c r="I60" s="8">
        <v>3</v>
      </c>
      <c r="J60" s="8">
        <v>5</v>
      </c>
      <c r="K60" s="9">
        <f>(H60+4*I60+J60)/6</f>
        <v>3.1666666666666665</v>
      </c>
      <c r="L60" s="9">
        <f>K60*$L$3</f>
        <v>0.31666666666666665</v>
      </c>
      <c r="M60" s="10">
        <f>SUM(K60:L60)</f>
        <v>3.4833333333333334</v>
      </c>
    </row>
    <row r="61" spans="1:13" ht="48" customHeight="1">
      <c r="A61" s="5">
        <v>50</v>
      </c>
      <c r="B61" s="6" t="s">
        <v>168</v>
      </c>
      <c r="C61" s="6" t="s">
        <v>169</v>
      </c>
      <c r="D61" s="6" t="s">
        <v>170</v>
      </c>
      <c r="E61" s="41"/>
      <c r="F61" s="7" t="s">
        <v>167</v>
      </c>
      <c r="G61" s="6" t="s">
        <v>26</v>
      </c>
      <c r="H61" s="8">
        <v>2</v>
      </c>
      <c r="I61" s="8">
        <v>3</v>
      </c>
      <c r="J61" s="8">
        <v>4</v>
      </c>
      <c r="K61" s="9">
        <f>(H61+4*I61+J61)/6</f>
        <v>3</v>
      </c>
      <c r="L61" s="9">
        <f>K61*$L$3</f>
        <v>0.30000000000000004</v>
      </c>
      <c r="M61" s="10">
        <f>SUM(K61:L61)</f>
        <v>3.3</v>
      </c>
    </row>
    <row r="62" spans="1:13" ht="48" customHeight="1">
      <c r="A62" s="5">
        <v>51</v>
      </c>
      <c r="B62" s="6" t="s">
        <v>171</v>
      </c>
      <c r="C62" s="6" t="s">
        <v>172</v>
      </c>
      <c r="D62" s="6" t="s">
        <v>171</v>
      </c>
      <c r="E62" s="41"/>
      <c r="F62" s="7" t="s">
        <v>173</v>
      </c>
      <c r="G62" s="6" t="s">
        <v>20</v>
      </c>
      <c r="H62" s="8">
        <v>1</v>
      </c>
      <c r="I62" s="8">
        <v>2</v>
      </c>
      <c r="J62" s="8">
        <v>3</v>
      </c>
      <c r="K62" s="9">
        <f>(H62+4*I62+J62)/6</f>
        <v>2</v>
      </c>
      <c r="L62" s="9">
        <f>K62*$L$3</f>
        <v>0.2</v>
      </c>
      <c r="M62" s="10">
        <f>SUM(K62:L62)</f>
        <v>2.2000000000000002</v>
      </c>
    </row>
    <row r="63" spans="1:13" ht="48" customHeight="1">
      <c r="A63" s="5">
        <v>52</v>
      </c>
      <c r="B63" s="6" t="s">
        <v>174</v>
      </c>
      <c r="C63" s="6" t="s">
        <v>175</v>
      </c>
      <c r="D63" s="6" t="s">
        <v>176</v>
      </c>
      <c r="E63" s="42"/>
      <c r="F63" s="7" t="s">
        <v>177</v>
      </c>
      <c r="G63" s="6" t="s">
        <v>29</v>
      </c>
      <c r="H63" s="8">
        <v>1</v>
      </c>
      <c r="I63" s="8">
        <v>2</v>
      </c>
      <c r="J63" s="8">
        <v>3</v>
      </c>
      <c r="K63" s="9">
        <f>(H63+4*I63+J63)/6</f>
        <v>2</v>
      </c>
      <c r="L63" s="9">
        <f>K63*$L$3</f>
        <v>0.2</v>
      </c>
      <c r="M63" s="10">
        <f>SUM(K63:L63)</f>
        <v>2.2000000000000002</v>
      </c>
    </row>
    <row r="64" spans="1:13" ht="21.95" customHeight="1">
      <c r="A64" s="31" t="s">
        <v>178</v>
      </c>
      <c r="B64" s="32"/>
      <c r="C64" s="32"/>
      <c r="D64" s="32"/>
      <c r="E64" s="32"/>
      <c r="F64" s="32"/>
      <c r="G64" s="32"/>
      <c r="H64" s="11">
        <f>SUM(H5:H63)</f>
        <v>134</v>
      </c>
      <c r="I64" s="11">
        <f>SUM(I5:I63)</f>
        <v>197</v>
      </c>
      <c r="J64" s="11">
        <f>SUM(J5:J63)</f>
        <v>288</v>
      </c>
      <c r="K64" s="12">
        <f>SUM(K5:K63)</f>
        <v>201.66666666666657</v>
      </c>
      <c r="L64" s="12">
        <f>SUM(L5:L63)</f>
        <v>20.166666666666668</v>
      </c>
      <c r="M64" s="13">
        <f>SUM(M5:M63)</f>
        <v>221.83333333333331</v>
      </c>
    </row>
  </sheetData>
  <mergeCells count="31">
    <mergeCell ref="B55:B57"/>
    <mergeCell ref="D55:D57"/>
    <mergeCell ref="E24:E31"/>
    <mergeCell ref="H2:H3"/>
    <mergeCell ref="A13:G13"/>
    <mergeCell ref="D1:D3"/>
    <mergeCell ref="H1:M1"/>
    <mergeCell ref="I2:I3"/>
    <mergeCell ref="A32:G32"/>
    <mergeCell ref="G1:G3"/>
    <mergeCell ref="A47:G47"/>
    <mergeCell ref="A4:G4"/>
    <mergeCell ref="M2:M3"/>
    <mergeCell ref="K2:K3"/>
    <mergeCell ref="J2:J3"/>
    <mergeCell ref="A58:G58"/>
    <mergeCell ref="F1:F3"/>
    <mergeCell ref="E48:E57"/>
    <mergeCell ref="E5:E12"/>
    <mergeCell ref="A64:G64"/>
    <mergeCell ref="A1:A3"/>
    <mergeCell ref="E33:E46"/>
    <mergeCell ref="F55:F57"/>
    <mergeCell ref="E1:E3"/>
    <mergeCell ref="E14:E22"/>
    <mergeCell ref="B1:B3"/>
    <mergeCell ref="C1:C3"/>
    <mergeCell ref="A55:A57"/>
    <mergeCell ref="C55:C57"/>
    <mergeCell ref="E59:E63"/>
    <mergeCell ref="A23: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24" customWidth="1"/>
    <col min="2" max="8" width="13" customWidth="1"/>
  </cols>
  <sheetData>
    <row r="1" spans="1:8">
      <c r="A1" s="14" t="s">
        <v>179</v>
      </c>
      <c r="B1" s="15" t="s">
        <v>180</v>
      </c>
      <c r="C1" s="15" t="s">
        <v>181</v>
      </c>
      <c r="D1" s="15" t="s">
        <v>182</v>
      </c>
      <c r="E1" s="15" t="s">
        <v>183</v>
      </c>
      <c r="F1" s="15" t="s">
        <v>184</v>
      </c>
      <c r="G1" s="15" t="s">
        <v>185</v>
      </c>
      <c r="H1" s="16" t="s">
        <v>186</v>
      </c>
    </row>
    <row r="2" spans="1:8">
      <c r="A2" s="17" t="s">
        <v>20</v>
      </c>
      <c r="B2" s="18">
        <f>SUMIF(WBS_PhanRaCTCongViec!$G$5:$G$12, $A2, WBS_PhanRaCTCongViec!$M$5:$M$12)</f>
        <v>12.283333333333331</v>
      </c>
      <c r="C2" s="18">
        <f>SUMIF(WBS_PhanRaCTCongViec!$G$14:$G$22, $A2, WBS_PhanRaCTCongViec!$M$14:$M$22)</f>
        <v>11</v>
      </c>
      <c r="D2" s="18">
        <f>SUMIF(WBS_PhanRaCTCongViec!$G$24:$G$31, $A2, WBS_PhanRaCTCongViec!$M$24:$M$31)</f>
        <v>4.2166666666666668</v>
      </c>
      <c r="E2" s="18">
        <f>SUMIF(WBS_PhanRaCTCongViec!$G$33:$G$46, $A2, WBS_PhanRaCTCongViec!$M$33:$M$46)</f>
        <v>5.6833333333333336</v>
      </c>
      <c r="F2" s="18">
        <f>SUMIF(WBS_PhanRaCTCongViec!$G$48:$G$57, $A2, WBS_PhanRaCTCongViec!$M$48:$M$57)</f>
        <v>7.8833333333333337</v>
      </c>
      <c r="G2" s="18">
        <f>SUMIF(WBS_PhanRaCTCongViec!$G$59:$G$63, $A2, WBS_PhanRaCTCongViec!$M$59:$M$63)</f>
        <v>2.2000000000000002</v>
      </c>
      <c r="H2" s="19">
        <f>SUM(B2:G2)</f>
        <v>43.266666666666673</v>
      </c>
    </row>
    <row r="3" spans="1:8">
      <c r="A3" s="17" t="s">
        <v>23</v>
      </c>
      <c r="B3" s="18">
        <f>SUMIF(WBS_PhanRaCTCongViec!$G$5:$G$12, $A3, WBS_PhanRaCTCongViec!$M$5:$M$12)</f>
        <v>8.0666666666666664</v>
      </c>
      <c r="C3" s="18">
        <f>SUMIF(WBS_PhanRaCTCongViec!$G$14:$G$22, $A3, WBS_PhanRaCTCongViec!$M$14:$M$22)</f>
        <v>10.083333333333334</v>
      </c>
      <c r="D3" s="18">
        <f>SUMIF(WBS_PhanRaCTCongViec!$G$24:$G$31, $A3, WBS_PhanRaCTCongViec!$M$24:$M$31)</f>
        <v>0</v>
      </c>
      <c r="E3" s="18">
        <f>SUMIF(WBS_PhanRaCTCongViec!$G$33:$G$46, $A3, WBS_PhanRaCTCongViec!$M$33:$M$46)</f>
        <v>19.433333333333334</v>
      </c>
      <c r="F3" s="18">
        <f>SUMIF(WBS_PhanRaCTCongViec!$G$48:$G$57, $A3, WBS_PhanRaCTCongViec!$M$48:$M$57)</f>
        <v>9.1666666666666679</v>
      </c>
      <c r="G3" s="18">
        <f>SUMIF(WBS_PhanRaCTCongViec!$G$59:$G$63, $A3, WBS_PhanRaCTCongViec!$M$59:$M$63)</f>
        <v>2.2000000000000002</v>
      </c>
      <c r="H3" s="19">
        <f>SUM(B3:G3)</f>
        <v>48.95</v>
      </c>
    </row>
    <row r="4" spans="1:8">
      <c r="A4" s="17" t="s">
        <v>60</v>
      </c>
      <c r="B4" s="18">
        <f>SUMIF(WBS_PhanRaCTCongViec!$G$5:$G$12, $A4, WBS_PhanRaCTCongViec!$M$5:$M$12)</f>
        <v>0</v>
      </c>
      <c r="C4" s="18">
        <f>SUMIF(WBS_PhanRaCTCongViec!$G$14:$G$22, $A4, WBS_PhanRaCTCongViec!$M$14:$M$22)</f>
        <v>8.8000000000000007</v>
      </c>
      <c r="D4" s="18">
        <f>SUMIF(WBS_PhanRaCTCongViec!$G$24:$G$31, $A4, WBS_PhanRaCTCongViec!$M$24:$M$31)</f>
        <v>3.4833333333333334</v>
      </c>
      <c r="E4" s="18">
        <f>SUMIF(WBS_PhanRaCTCongViec!$G$33:$G$46, $A4, WBS_PhanRaCTCongViec!$M$33:$M$46)</f>
        <v>18.150000000000002</v>
      </c>
      <c r="F4" s="18">
        <f>SUMIF(WBS_PhanRaCTCongViec!$G$48:$G$57, $A4, WBS_PhanRaCTCongViec!$M$48:$M$57)</f>
        <v>8.0666666666666664</v>
      </c>
      <c r="G4" s="18">
        <f>SUMIF(WBS_PhanRaCTCongViec!$G$59:$G$63, $A4, WBS_PhanRaCTCongViec!$M$59:$M$63)</f>
        <v>3.4833333333333334</v>
      </c>
      <c r="H4" s="19">
        <f>SUM(B4:G4)</f>
        <v>41.983333333333334</v>
      </c>
    </row>
    <row r="5" spans="1:8">
      <c r="A5" s="17" t="s">
        <v>29</v>
      </c>
      <c r="B5" s="18">
        <f>SUMIF(WBS_PhanRaCTCongViec!$G$5:$G$12, $A5, WBS_PhanRaCTCongViec!$M$5:$M$12)</f>
        <v>2.3833333333333333</v>
      </c>
      <c r="C5" s="18">
        <f>SUMIF(WBS_PhanRaCTCongViec!$G$14:$G$22, $A5, WBS_PhanRaCTCongViec!$M$14:$M$22)</f>
        <v>4.5833333333333339</v>
      </c>
      <c r="D5" s="18">
        <f>SUMIF(WBS_PhanRaCTCongViec!$G$24:$G$31, $A5, WBS_PhanRaCTCongViec!$M$24:$M$31)</f>
        <v>13.383333333333335</v>
      </c>
      <c r="E5" s="18">
        <f>SUMIF(WBS_PhanRaCTCongViec!$G$33:$G$46, $A5, WBS_PhanRaCTCongViec!$M$33:$M$46)</f>
        <v>13.566666666666666</v>
      </c>
      <c r="F5" s="18">
        <f>SUMIF(WBS_PhanRaCTCongViec!$G$48:$G$57, $A5, WBS_PhanRaCTCongViec!$M$48:$M$57)</f>
        <v>7.8833333333333337</v>
      </c>
      <c r="G5" s="18">
        <f>SUMIF(WBS_PhanRaCTCongViec!$G$59:$G$63, $A5, WBS_PhanRaCTCongViec!$M$59:$M$63)</f>
        <v>2.2000000000000002</v>
      </c>
      <c r="H5" s="19">
        <f>SUM(B5:G5)</f>
        <v>44.000000000000007</v>
      </c>
    </row>
    <row r="6" spans="1:8">
      <c r="A6" s="17" t="s">
        <v>26</v>
      </c>
      <c r="B6" s="18">
        <f>SUMIF(WBS_PhanRaCTCongViec!$G$5:$G$12, $A6, WBS_PhanRaCTCongViec!$M$5:$M$12)</f>
        <v>4.4000000000000004</v>
      </c>
      <c r="C6" s="18">
        <f>SUMIF(WBS_PhanRaCTCongViec!$G$14:$G$22, $A6, WBS_PhanRaCTCongViec!$M$14:$M$22)</f>
        <v>6.6</v>
      </c>
      <c r="D6" s="18">
        <f>SUMIF(WBS_PhanRaCTCongViec!$G$24:$G$31, $A6, WBS_PhanRaCTCongViec!$M$24:$M$31)</f>
        <v>8.8000000000000007</v>
      </c>
      <c r="E6" s="18">
        <f>SUMIF(WBS_PhanRaCTCongViec!$G$33:$G$46, $A6, WBS_PhanRaCTCongViec!$M$33:$M$46)</f>
        <v>12.466666666666669</v>
      </c>
      <c r="F6" s="18">
        <f>SUMIF(WBS_PhanRaCTCongViec!$G$48:$G$57, $A6, WBS_PhanRaCTCongViec!$M$48:$M$57)</f>
        <v>8.0666666666666664</v>
      </c>
      <c r="G6" s="18">
        <f>SUMIF(WBS_PhanRaCTCongViec!$G$59:$G$63, $A6, WBS_PhanRaCTCongViec!$M$59:$M$63)</f>
        <v>3.3</v>
      </c>
      <c r="H6" s="19">
        <f>SUM(B6:G6)</f>
        <v>43.633333333333326</v>
      </c>
    </row>
    <row r="7" spans="1:8">
      <c r="A7" s="20" t="s">
        <v>178</v>
      </c>
      <c r="B7" s="21">
        <f>SUM(B2:B6)</f>
        <v>27.133333333333333</v>
      </c>
      <c r="C7" s="21">
        <f>SUM(C2:C6)</f>
        <v>41.06666666666667</v>
      </c>
      <c r="D7" s="21">
        <f>SUM(D2:D6)</f>
        <v>29.883333333333336</v>
      </c>
      <c r="E7" s="21">
        <f>SUM(E2:E6)</f>
        <v>69.3</v>
      </c>
      <c r="F7" s="21">
        <f>SUM(F2:F6)</f>
        <v>41.066666666666663</v>
      </c>
      <c r="G7" s="21">
        <f>SUM(G2:G6)</f>
        <v>13.383333333333333</v>
      </c>
      <c r="H7" s="22">
        <f>SUM(H2:H6)</f>
        <v>221.83333333333331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heetViews>
  <sheetFormatPr defaultRowHeight="15"/>
  <cols>
    <col min="1" max="1" width="28" customWidth="1"/>
    <col min="2" max="2" width="26" customWidth="1"/>
    <col min="3" max="3" width="36" customWidth="1"/>
    <col min="4" max="4" width="30" customWidth="1"/>
  </cols>
  <sheetData>
    <row r="1" spans="1:4">
      <c r="A1" s="23" t="s">
        <v>187</v>
      </c>
    </row>
    <row r="2" spans="1:4">
      <c r="A2" s="23" t="s">
        <v>188</v>
      </c>
    </row>
    <row r="4" spans="1:4">
      <c r="A4" s="23" t="s">
        <v>189</v>
      </c>
    </row>
    <row r="5" spans="1:4">
      <c r="A5" s="35" t="s">
        <v>190</v>
      </c>
      <c r="B5" s="45"/>
      <c r="C5" s="45"/>
      <c r="D5" s="45"/>
    </row>
    <row r="6" spans="1:4">
      <c r="A6" s="35" t="s">
        <v>191</v>
      </c>
      <c r="B6" s="45"/>
      <c r="C6" s="45"/>
      <c r="D6" s="45"/>
    </row>
    <row r="7" spans="1:4">
      <c r="A7" s="35" t="s">
        <v>192</v>
      </c>
      <c r="B7" s="45"/>
      <c r="C7" s="45"/>
      <c r="D7" s="45"/>
    </row>
    <row r="8" spans="1:4">
      <c r="A8" s="38" t="s">
        <v>193</v>
      </c>
      <c r="B8" s="45"/>
      <c r="C8" s="45"/>
      <c r="D8" s="45"/>
    </row>
    <row r="9" spans="1:4">
      <c r="A9" s="35" t="s">
        <v>194</v>
      </c>
      <c r="B9" s="45"/>
      <c r="C9" s="45"/>
      <c r="D9" s="45"/>
    </row>
    <row r="10" spans="1:4">
      <c r="A10" s="35" t="s">
        <v>195</v>
      </c>
      <c r="B10" s="45"/>
      <c r="C10" s="45"/>
      <c r="D10" s="45"/>
    </row>
    <row r="11" spans="1:4" ht="174.95" customHeight="1">
      <c r="A11" s="35" t="s">
        <v>196</v>
      </c>
      <c r="B11" s="45"/>
      <c r="C11" s="45"/>
      <c r="D11" s="45"/>
    </row>
    <row r="12" spans="1:4" ht="189.95" customHeight="1">
      <c r="A12" s="35" t="s">
        <v>197</v>
      </c>
      <c r="B12" s="45"/>
      <c r="C12" s="45"/>
      <c r="D12" s="45"/>
    </row>
    <row r="13" spans="1:4" ht="150" customHeight="1">
      <c r="A13" s="35" t="s">
        <v>198</v>
      </c>
      <c r="B13" s="45"/>
      <c r="C13" s="45"/>
      <c r="D13" s="45"/>
    </row>
    <row r="14" spans="1:4" ht="80.099999999999994" customHeight="1">
      <c r="A14" s="35" t="s">
        <v>199</v>
      </c>
      <c r="B14" s="45"/>
      <c r="C14" s="45"/>
      <c r="D14" s="45"/>
    </row>
    <row r="15" spans="1:4" ht="230.1" customHeight="1">
      <c r="A15" s="35" t="s">
        <v>200</v>
      </c>
      <c r="B15" s="45"/>
      <c r="C15" s="45"/>
      <c r="D15" s="45"/>
    </row>
    <row r="16" spans="1:4">
      <c r="A16" s="35" t="s">
        <v>201</v>
      </c>
      <c r="B16" s="45"/>
      <c r="C16" s="45"/>
      <c r="D16" s="45"/>
    </row>
    <row r="17" spans="1:4">
      <c r="A17" s="35" t="s">
        <v>202</v>
      </c>
      <c r="B17" s="45"/>
      <c r="C17" s="45"/>
      <c r="D17" s="45"/>
    </row>
    <row r="18" spans="1:4">
      <c r="A18" s="39" t="s">
        <v>203</v>
      </c>
      <c r="B18" s="39" t="s">
        <v>204</v>
      </c>
      <c r="C18" s="25" t="s">
        <v>205</v>
      </c>
      <c r="D18" s="25" t="s">
        <v>206</v>
      </c>
    </row>
    <row r="19" spans="1:4">
      <c r="A19" s="39"/>
      <c r="B19" s="39"/>
      <c r="C19" s="25" t="s">
        <v>207</v>
      </c>
      <c r="D19" s="25" t="s">
        <v>208</v>
      </c>
    </row>
    <row r="20" spans="1:4" ht="36" customHeight="1">
      <c r="A20" s="26" t="s">
        <v>209</v>
      </c>
      <c r="B20" s="26" t="s">
        <v>210</v>
      </c>
      <c r="C20" s="26" t="s">
        <v>211</v>
      </c>
      <c r="D20" s="26"/>
    </row>
    <row r="21" spans="1:4" ht="36" customHeight="1">
      <c r="A21" s="26" t="s">
        <v>212</v>
      </c>
      <c r="B21" s="26" t="s">
        <v>213</v>
      </c>
      <c r="C21" s="26" t="s">
        <v>214</v>
      </c>
      <c r="D21" s="26"/>
    </row>
    <row r="22" spans="1:4" ht="36" customHeight="1">
      <c r="A22" s="26" t="s">
        <v>215</v>
      </c>
      <c r="B22" s="26" t="s">
        <v>20</v>
      </c>
      <c r="C22" s="26" t="s">
        <v>216</v>
      </c>
      <c r="D22" s="26"/>
    </row>
    <row r="23" spans="1:4" ht="36" customHeight="1">
      <c r="A23" s="26" t="s">
        <v>217</v>
      </c>
      <c r="B23" s="26" t="s">
        <v>23</v>
      </c>
      <c r="C23" s="26" t="s">
        <v>218</v>
      </c>
      <c r="D23" s="26"/>
    </row>
    <row r="24" spans="1:4" ht="36" customHeight="1">
      <c r="A24" s="26" t="s">
        <v>179</v>
      </c>
      <c r="B24" s="26" t="s">
        <v>60</v>
      </c>
      <c r="C24" s="26" t="s">
        <v>219</v>
      </c>
      <c r="D24" s="26"/>
    </row>
    <row r="25" spans="1:4" ht="36" customHeight="1">
      <c r="A25" s="26" t="s">
        <v>179</v>
      </c>
      <c r="B25" s="26" t="s">
        <v>29</v>
      </c>
      <c r="C25" s="26" t="s">
        <v>220</v>
      </c>
      <c r="D25" s="26"/>
    </row>
    <row r="26" spans="1:4" ht="36" customHeight="1">
      <c r="A26" s="26" t="s">
        <v>179</v>
      </c>
      <c r="B26" s="26" t="s">
        <v>26</v>
      </c>
      <c r="C26" s="26" t="s">
        <v>221</v>
      </c>
      <c r="D26" s="26"/>
    </row>
    <row r="27" spans="1:4" ht="32.1" customHeight="1">
      <c r="A27" s="35" t="s">
        <v>222</v>
      </c>
      <c r="B27" s="45"/>
      <c r="C27" s="45"/>
      <c r="D27" s="45"/>
    </row>
    <row r="30" spans="1:4">
      <c r="A30" s="23" t="s">
        <v>223</v>
      </c>
    </row>
    <row r="31" spans="1:4">
      <c r="A31" s="40" t="s">
        <v>224</v>
      </c>
      <c r="B31" s="45"/>
      <c r="C31" s="45"/>
      <c r="D31" s="45"/>
    </row>
    <row r="32" spans="1:4">
      <c r="A32" s="24" t="s">
        <v>225</v>
      </c>
    </row>
    <row r="33" spans="1:4" ht="48" customHeight="1">
      <c r="A33" s="24" t="s">
        <v>226</v>
      </c>
      <c r="B33" s="35" t="s">
        <v>227</v>
      </c>
      <c r="C33" s="45"/>
      <c r="D33" s="45"/>
    </row>
    <row r="34" spans="1:4" ht="20.100000000000001" customHeight="1">
      <c r="A34" s="24" t="s">
        <v>228</v>
      </c>
      <c r="B34" s="35" t="s">
        <v>229</v>
      </c>
      <c r="C34" s="45"/>
      <c r="D34" s="45"/>
    </row>
    <row r="35" spans="1:4" ht="48" customHeight="1">
      <c r="A35" s="24" t="s">
        <v>230</v>
      </c>
      <c r="B35" s="35" t="s">
        <v>211</v>
      </c>
      <c r="C35" s="45"/>
      <c r="D35" s="45"/>
    </row>
    <row r="36" spans="1:4" ht="20.100000000000001" customHeight="1">
      <c r="A36" s="24" t="s">
        <v>4</v>
      </c>
      <c r="B36" s="35" t="s">
        <v>231</v>
      </c>
      <c r="C36" s="45"/>
      <c r="D36" s="45"/>
    </row>
    <row r="37" spans="1:4" ht="20.100000000000001" customHeight="1">
      <c r="A37" s="24" t="s">
        <v>215</v>
      </c>
      <c r="B37" s="35" t="s">
        <v>20</v>
      </c>
      <c r="C37" s="45"/>
      <c r="D37" s="45"/>
    </row>
    <row r="38" spans="1:4" ht="20.100000000000001" customHeight="1">
      <c r="A38" s="24" t="s">
        <v>232</v>
      </c>
      <c r="B38" s="35" t="s">
        <v>20</v>
      </c>
      <c r="C38" s="45"/>
      <c r="D38" s="45"/>
    </row>
    <row r="39" spans="1:4" ht="48" customHeight="1">
      <c r="A39" s="24" t="s">
        <v>233</v>
      </c>
      <c r="B39" s="35" t="s">
        <v>234</v>
      </c>
      <c r="C39" s="45"/>
      <c r="D39" s="45"/>
    </row>
    <row r="40" spans="1:4" ht="63.95" customHeight="1">
      <c r="A40" s="24" t="s">
        <v>235</v>
      </c>
      <c r="B40" s="35" t="s">
        <v>236</v>
      </c>
      <c r="C40" s="45"/>
      <c r="D40" s="45"/>
    </row>
    <row r="42" spans="1:4">
      <c r="C42" s="37" t="s">
        <v>215</v>
      </c>
      <c r="D42" s="45"/>
    </row>
    <row r="43" spans="1:4">
      <c r="C43" s="36" t="s">
        <v>237</v>
      </c>
      <c r="D43" s="45"/>
    </row>
    <row r="46" spans="1:4">
      <c r="C46" s="37" t="s">
        <v>20</v>
      </c>
      <c r="D46" s="45"/>
    </row>
  </sheetData>
  <mergeCells count="28">
    <mergeCell ref="A5:D5"/>
    <mergeCell ref="A17:D17"/>
    <mergeCell ref="A8:D8"/>
    <mergeCell ref="B18:B19"/>
    <mergeCell ref="C42:D42"/>
    <mergeCell ref="A10:D10"/>
    <mergeCell ref="B38:D38"/>
    <mergeCell ref="A13:D13"/>
    <mergeCell ref="B34:D34"/>
    <mergeCell ref="A9:D9"/>
    <mergeCell ref="A31:D31"/>
    <mergeCell ref="B37:D37"/>
    <mergeCell ref="B40:D40"/>
    <mergeCell ref="A15:D15"/>
    <mergeCell ref="A11:D11"/>
    <mergeCell ref="A18:A19"/>
    <mergeCell ref="B33:D33"/>
    <mergeCell ref="C43:D43"/>
    <mergeCell ref="B36:D36"/>
    <mergeCell ref="C46:D46"/>
    <mergeCell ref="A6:D6"/>
    <mergeCell ref="B35:D35"/>
    <mergeCell ref="A7:D7"/>
    <mergeCell ref="A16:D16"/>
    <mergeCell ref="A27:D27"/>
    <mergeCell ref="A12:D12"/>
    <mergeCell ref="B39:D39"/>
    <mergeCell ref="A14:D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4095E8-6726-4D3B-8A02-29A7EADB603E}"/>
</file>

<file path=customXml/itemProps2.xml><?xml version="1.0" encoding="utf-8"?>
<ds:datastoreItem xmlns:ds="http://schemas.openxmlformats.org/officeDocument/2006/customXml" ds:itemID="{04F6B906-89A5-4949-B8DD-FBEE0F1A9B3D}"/>
</file>

<file path=customXml/itemProps3.xml><?xml version="1.0" encoding="utf-8"?>
<ds:datastoreItem xmlns:ds="http://schemas.openxmlformats.org/officeDocument/2006/customXml" ds:itemID="{176694D0-FE6B-4863-9E9B-7ABEAA397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Pham Doan Bao Thien 202490090</cp:lastModifiedBy>
  <cp:revision/>
  <dcterms:created xsi:type="dcterms:W3CDTF">2026-09-16T13:07:44Z</dcterms:created>
  <dcterms:modified xsi:type="dcterms:W3CDTF">2026-09-16T13:40:58Z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