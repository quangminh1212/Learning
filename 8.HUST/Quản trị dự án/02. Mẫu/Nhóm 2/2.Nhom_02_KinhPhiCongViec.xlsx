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D:\Agentic-Repos\Project-Management\Latest\"/>
    </mc:Choice>
  </mc:AlternateContent>
  <xr:revisionPtr revIDLastSave="1" documentId="13_ncr:1_{0E95E70C-C374-4ABB-B8A9-6C0C745CAD5B}" xr6:coauthVersionLast="47" xr6:coauthVersionMax="47" xr10:uidLastSave="{32CDF06E-1646-40AB-A24B-B010545797B3}"/>
  <bookViews>
    <workbookView xWindow="-108" yWindow="-108" windowWidth="23256" windowHeight="13896" xr2:uid="{00000000-000D-0000-FFFF-FFFF00000000}"/>
  </bookViews>
  <sheets>
    <sheet name="CongViec" sheetId="1" r:id="rId1"/>
    <sheet name="CongLaoDong" sheetId="2" r:id="rId2"/>
    <sheet name="Dự toán" sheetId="3" r:id="rId3"/>
    <sheet name="Thiết bị vật tư" sheetId="4" r:id="rId4"/>
    <sheet name="Chi khác" sheetId="5" r:id="rId5"/>
    <sheet name="KeHoachThanhToan" sheetId="6" r:id="rId6"/>
  </sheets>
  <definedNames>
    <definedName name="_xlnm.Print_Titles" localSheetId="0">CongViec!$5:$6</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7" i="6" l="1"/>
  <c r="D27" i="6"/>
  <c r="C27" i="6"/>
  <c r="F26" i="6"/>
  <c r="F25" i="6"/>
  <c r="F24" i="6"/>
  <c r="F23" i="6"/>
  <c r="F22" i="6"/>
  <c r="F21" i="6"/>
  <c r="F20" i="6"/>
  <c r="B20" i="6"/>
  <c r="F16" i="6"/>
  <c r="J16" i="6" s="1"/>
  <c r="H15" i="6"/>
  <c r="H14" i="6"/>
  <c r="H13" i="6"/>
  <c r="H12" i="6"/>
  <c r="H11" i="6"/>
  <c r="H10" i="6"/>
  <c r="D5" i="6"/>
  <c r="G10" i="6" s="1"/>
  <c r="D23" i="5"/>
  <c r="F20" i="4"/>
  <c r="F19" i="4"/>
  <c r="F18" i="4"/>
  <c r="F17" i="4"/>
  <c r="F15" i="4"/>
  <c r="F14" i="4"/>
  <c r="F12" i="4"/>
  <c r="F11" i="4"/>
  <c r="F10" i="4"/>
  <c r="F9" i="4"/>
  <c r="C15" i="3"/>
  <c r="F12" i="2"/>
  <c r="I45" i="1" s="1"/>
  <c r="J45" i="1" s="1"/>
  <c r="D12" i="2"/>
  <c r="G12" i="2" s="1"/>
  <c r="F11" i="2"/>
  <c r="I43" i="1" s="1"/>
  <c r="J43" i="1" s="1"/>
  <c r="D11" i="2"/>
  <c r="G11" i="2" s="1"/>
  <c r="F10" i="2"/>
  <c r="I36" i="1" s="1"/>
  <c r="J36" i="1" s="1"/>
  <c r="D10" i="2"/>
  <c r="G10" i="2" s="1"/>
  <c r="F9" i="2"/>
  <c r="I26" i="1" s="1"/>
  <c r="J26" i="1" s="1"/>
  <c r="D9" i="2"/>
  <c r="G9" i="2" s="1"/>
  <c r="F8" i="2"/>
  <c r="D8" i="2"/>
  <c r="G8" i="2" s="1"/>
  <c r="H64" i="1"/>
  <c r="B16" i="2" s="1"/>
  <c r="I62" i="1"/>
  <c r="J62" i="1" s="1"/>
  <c r="I60" i="1"/>
  <c r="J60" i="1" s="1"/>
  <c r="I58" i="1"/>
  <c r="J58" i="1" s="1"/>
  <c r="I56" i="1"/>
  <c r="J56" i="1" s="1"/>
  <c r="I54" i="1"/>
  <c r="J54" i="1" s="1"/>
  <c r="I52" i="1"/>
  <c r="J52" i="1" s="1"/>
  <c r="I50" i="1"/>
  <c r="J50" i="1" s="1"/>
  <c r="I46" i="1"/>
  <c r="J46" i="1" s="1"/>
  <c r="I38" i="1"/>
  <c r="J38" i="1" s="1"/>
  <c r="I34" i="1"/>
  <c r="J34" i="1" s="1"/>
  <c r="I30" i="1"/>
  <c r="J30" i="1" s="1"/>
  <c r="I29" i="1"/>
  <c r="J29" i="1" s="1"/>
  <c r="I28" i="1"/>
  <c r="J28" i="1" s="1"/>
  <c r="I27" i="1"/>
  <c r="J27" i="1" s="1"/>
  <c r="I25" i="1"/>
  <c r="J25" i="1" s="1"/>
  <c r="I22" i="1"/>
  <c r="J22" i="1" s="1"/>
  <c r="I17" i="1"/>
  <c r="J17" i="1" s="1"/>
  <c r="I12" i="1"/>
  <c r="J12" i="1" s="1"/>
  <c r="I9" i="1"/>
  <c r="J9" i="1" s="1"/>
  <c r="I7" i="1"/>
  <c r="J7" i="1" s="1"/>
  <c r="F21" i="4" l="1"/>
  <c r="C9" i="3" s="1"/>
  <c r="G25" i="6"/>
  <c r="G23" i="6"/>
  <c r="G26" i="6"/>
  <c r="G27" i="6" s="1"/>
  <c r="I47" i="1"/>
  <c r="J47" i="1" s="1"/>
  <c r="I8" i="1"/>
  <c r="J8" i="1" s="1"/>
  <c r="I48" i="1"/>
  <c r="J48" i="1" s="1"/>
  <c r="I49" i="1"/>
  <c r="J49" i="1" s="1"/>
  <c r="I10" i="1"/>
  <c r="J10" i="1" s="1"/>
  <c r="I11" i="1"/>
  <c r="J11" i="1" s="1"/>
  <c r="I10" i="6"/>
  <c r="H20" i="6"/>
  <c r="I35" i="1"/>
  <c r="J35" i="1" s="1"/>
  <c r="I37" i="1"/>
  <c r="J37" i="1" s="1"/>
  <c r="I18" i="1"/>
  <c r="J18" i="1" s="1"/>
  <c r="I19" i="1"/>
  <c r="J19" i="1" s="1"/>
  <c r="I63" i="1"/>
  <c r="J63" i="1" s="1"/>
  <c r="I31" i="1"/>
  <c r="J31" i="1" s="1"/>
  <c r="I32" i="1"/>
  <c r="J32" i="1" s="1"/>
  <c r="G20" i="6"/>
  <c r="I13" i="1"/>
  <c r="J13" i="1" s="1"/>
  <c r="I53" i="1"/>
  <c r="J53" i="1" s="1"/>
  <c r="I16" i="1"/>
  <c r="J16" i="1" s="1"/>
  <c r="G24" i="6"/>
  <c r="G13" i="6"/>
  <c r="I59" i="1"/>
  <c r="J59" i="1" s="1"/>
  <c r="I41" i="1"/>
  <c r="J41" i="1" s="1"/>
  <c r="I44" i="1"/>
  <c r="J44" i="1" s="1"/>
  <c r="G15" i="6"/>
  <c r="G22" i="6"/>
  <c r="G11" i="6"/>
  <c r="I14" i="1"/>
  <c r="J14" i="1" s="1"/>
  <c r="G12" i="6"/>
  <c r="F27" i="6"/>
  <c r="B21" i="6"/>
  <c r="I20" i="1"/>
  <c r="J20" i="1" s="1"/>
  <c r="I21" i="1"/>
  <c r="J21" i="1" s="1"/>
  <c r="G14" i="6"/>
  <c r="I51" i="1"/>
  <c r="J51" i="1" s="1"/>
  <c r="I33" i="1"/>
  <c r="J33" i="1" s="1"/>
  <c r="I15" i="1"/>
  <c r="J15" i="1" s="1"/>
  <c r="I55" i="1"/>
  <c r="J55" i="1" s="1"/>
  <c r="I57" i="1"/>
  <c r="J57" i="1" s="1"/>
  <c r="G21" i="6"/>
  <c r="I39" i="1"/>
  <c r="J39" i="1" s="1"/>
  <c r="I40" i="1"/>
  <c r="J40" i="1" s="1"/>
  <c r="I61" i="1"/>
  <c r="J61" i="1" s="1"/>
  <c r="I42" i="1"/>
  <c r="J42" i="1" s="1"/>
  <c r="I23" i="1"/>
  <c r="J23" i="1" s="1"/>
  <c r="I24" i="1"/>
  <c r="J24" i="1" s="1"/>
  <c r="G13" i="2"/>
  <c r="F31" i="6" s="1"/>
  <c r="D13" i="2"/>
  <c r="F32" i="6" l="1"/>
  <c r="I15" i="6"/>
  <c r="J64" i="1"/>
  <c r="B18" i="2" s="1"/>
  <c r="I11" i="6"/>
  <c r="I20" i="6"/>
  <c r="J20" i="6" s="1"/>
  <c r="I13" i="6"/>
  <c r="I14" i="6"/>
  <c r="H21" i="6"/>
  <c r="B22" i="6"/>
  <c r="G16" i="6"/>
  <c r="I12" i="6"/>
  <c r="B17" i="2"/>
  <c r="F13" i="2"/>
  <c r="D24" i="5"/>
  <c r="D25" i="5" s="1"/>
  <c r="C8" i="3"/>
  <c r="B19" i="2"/>
  <c r="H9" i="2"/>
  <c r="H13" i="2"/>
  <c r="H8" i="2"/>
  <c r="H12" i="2"/>
  <c r="H11" i="2"/>
  <c r="H10" i="2"/>
  <c r="H22" i="6" l="1"/>
  <c r="B23" i="6"/>
  <c r="I21" i="6"/>
  <c r="J21" i="6" s="1"/>
  <c r="C10" i="3"/>
  <c r="C11" i="3" s="1"/>
  <c r="C16" i="3" s="1"/>
  <c r="F33" i="6"/>
  <c r="C18" i="3"/>
  <c r="C19" i="3" s="1"/>
  <c r="I22" i="6" l="1"/>
  <c r="J22" i="6" s="1"/>
  <c r="B24" i="6"/>
  <c r="H23" i="6"/>
  <c r="I23" i="6" l="1"/>
  <c r="J23" i="6" s="1"/>
  <c r="B25" i="6"/>
  <c r="H24" i="6"/>
  <c r="I24" i="6" s="1"/>
  <c r="J24" i="6" s="1"/>
  <c r="B26" i="6" l="1"/>
  <c r="H26" i="6" s="1"/>
  <c r="H25" i="6"/>
  <c r="I25" i="6" s="1"/>
  <c r="J25" i="6" s="1"/>
  <c r="H27" i="6" l="1"/>
  <c r="F34" i="6" s="1"/>
  <c r="I26" i="6"/>
  <c r="I27" i="6" l="1"/>
  <c r="J26" i="6"/>
  <c r="J27" i="6" l="1"/>
  <c r="F35" i="6"/>
  <c r="F37" i="6"/>
  <c r="F36" i="6"/>
</calcChain>
</file>

<file path=xl/sharedStrings.xml><?xml version="1.0" encoding="utf-8"?>
<sst xmlns="http://schemas.openxmlformats.org/spreadsheetml/2006/main" count="523" uniqueCount="314">
  <si>
    <t>BẢNG KINH PHÍ CÔNG VIỆC (WORK COST BREAKDOWN) — DỰ ÁN XÂY DỰNG HỆ THỐNG HRMS CHO SME</t>
  </si>
  <si>
    <t>Mã số đề tài: VB2-CNTT-K69(1)-N02  |  Nhóm 02 - Lớp B2CQ-CNTT-K69(01), Viện Đào tạo liên tục - Trường Công nghệ Thông tin và Truyền thông, Đại học Bách khoa Hà Nội</t>
  </si>
  <si>
    <t>Kinh phí công lao động theo các nhóm công việc chính của Bảng phân rã công việc (WBS). Định mức/ngày công tra tự động từ sheet CongLaoDong theo cột Người thực hiện.</t>
  </si>
  <si>
    <t>STT</t>
  </si>
  <si>
    <t>Các nội dung, công việc thực hiện</t>
  </si>
  <si>
    <t>Sản phẩm bàn giao</t>
  </si>
  <si>
    <t>Thời gian thực hiện</t>
  </si>
  <si>
    <t>Nhóm quy trình</t>
  </si>
  <si>
    <t>KINH PHÍ CÔNG LAO ĐỘNG</t>
  </si>
  <si>
    <t>Nhiệm vụ</t>
  </si>
  <si>
    <t>Người thực hiện</t>
  </si>
  <si>
    <t>Số ngày công</t>
  </si>
  <si>
    <t>Định mức
(đ/ngày công)</t>
  </si>
  <si>
    <t>Thành tiền (đ)</t>
  </si>
  <si>
    <t>A.1. Khởi tạo dự án và phê duyệt Project Charter</t>
  </si>
  <si>
    <t>Danh sách Sponsor và Ban Chỉ đạo; Tôn chỉ dự án; Sổ đăng ký các bên liên quan; Thuyết minh đề tài; Biên bản phê duyệt Project Charter</t>
  </si>
  <si>
    <t>02/09/2026 - 11/09/2026</t>
  </si>
  <si>
    <t>Khởi tạo</t>
  </si>
  <si>
    <t>Chủ nhiệm</t>
  </si>
  <si>
    <t>Trần Đức Cường</t>
  </si>
  <si>
    <t>Thành viên</t>
  </si>
  <si>
    <t>Mai Công Trà Giang</t>
  </si>
  <si>
    <t>B.1. Lập kế hoạch quản trị lõi (Project Management Plan)</t>
  </si>
  <si>
    <t>Bảng phân rã công việc + Từ điển WBS; Bảng ước lượng PERT; Sơ đồ mạng và đường găng; Sơ đồ Gantt và danh mục cột mốc; Đường cơ sở chi phí và S-curve; Kế hoạch quản lý chất lượng; ... (tổng 12 sản phẩm, chi tiết tại WBS)</t>
  </si>
  <si>
    <t>14/09/2026 - 08/10/2026</t>
  </si>
  <si>
    <t>Lập kế hoạch</t>
  </si>
  <si>
    <t>Nguyễn Phương Thảo</t>
  </si>
  <si>
    <t>B.2. Lập kế hoạch quản lý cấu hình và thay đổi</t>
  </si>
  <si>
    <t>Kế hoạch quản lý cấu hình; Kế hoạch quản lý thay đổi; Điều lệ CCB; Mẫu Yêu cầu thay đổi</t>
  </si>
  <si>
    <t>05/10/2026 - 09/10/2026</t>
  </si>
  <si>
    <t>Thành viên chính</t>
  </si>
  <si>
    <t>Bùi Tiến Thành</t>
  </si>
  <si>
    <t>B.3. Chi tiết hóa kế hoạch các giai đoạn SDLC (Rolling Wave Planning)</t>
  </si>
  <si>
    <t>Kế hoạch phát triển phần mềm; Kế hoạch kiểm thử; Kế hoạch triển khai</t>
  </si>
  <si>
    <t>08/10/2026 - 09/10/2026</t>
  </si>
  <si>
    <t>C.1. [SDLC-Scope] Khảo sát công nghệ và thiết lập môi trường</t>
  </si>
  <si>
    <t>Báo cáo khảo sát công nghệ; Báo cáo lựa chọn công nghệ; Môi trường Development đã cấu hình; Môi trường Staging đã cấu hình; Môi trường Production đã cấu hình; Bộ công cụ QLDA đã cấu hình; ... (tổng 8 sản phẩm, chi tiết tại WBS)</t>
  </si>
  <si>
    <t>12/10/2026 - 24/10/2026</t>
  </si>
  <si>
    <t>Thực hiện</t>
  </si>
  <si>
    <t>Lê Xuân Bách</t>
  </si>
  <si>
    <t>C.2. [SDLC-Analysis] Khảo sát hiện trạng As-Is</t>
  </si>
  <si>
    <t>Bộ câu hỏi phỏng vấn; Biên bản phỏng vấn nhóm HR (ẩn danh); Biên bản phỏng vấn nhóm Manager (ẩn danh); Biên bản phỏng vấn nhóm Employee (ẩn danh); Nhật ký quan sát nghiệp vụ; ... (tổng 9 sản phẩm, chi tiết tại WBS)</t>
  </si>
  <si>
    <t>26/10/2026 - 14/11/2026</t>
  </si>
  <si>
    <t>C.3. [SDLC-Analysis] Đặc tả yêu cầu (SRS) và mô hình To-Be</t>
  </si>
  <si>
    <t>Bộ biểu mẫu nghiệp vụ chuẩn hóa; Đặc tả FR M0 (Đăng nhập &amp; phân quyền); Đặc tả FR M1 (Nhân sự &amp; hợp đồng); Đặc tả FR M2 (Ca làm việc &amp; chấm công); Đặc tả yêu cầu phi chức năng; Mô hình BPMN To-Be; ... (tổng 9 sản phẩm, chi tiết tại WBS)</t>
  </si>
  <si>
    <t>16/11/2026 - 04/12/2026</t>
  </si>
  <si>
    <t>C.4. [SDLC-Design] Phân tích và thiết kế hệ thống</t>
  </si>
  <si>
    <t>Biểu đồ Use Case tổng quát; Đặc tả Use Case chi tiết; Biểu đồ Lớp; Biểu đồ Tuần tự; Biểu đồ Hoạt động; Biểu đồ Thành phần; Biểu đồ Triển khai; Mô hình ERD + Từ điển dữ liệu; Bản thiết kế kiến trúc; ... (tổng 14 sản phẩm, chi tiết tại WBS)</t>
  </si>
  <si>
    <t>07/12/2026 - 25/12/2026</t>
  </si>
  <si>
    <t>C.5. [SDLC-Development] Phát triển phần mềm (Incremental 3 increment)</t>
  </si>
  <si>
    <t>Mã nguồn Backend M0 + API docs; Mã nguồn Frontend M0; Bộ unit test M0 + báo cáo code review; Bản build M0 trên Staging + Biên bản demo; Mã nguồn Backend M1 + API docs; Mã nguồn Frontend M1; ... (tổng 17 sản phẩm, chi tiết tại WBS)</t>
  </si>
  <si>
    <t>28/12/2026 - 29/01/2027</t>
  </si>
  <si>
    <t>C.6. [SDLC-Testing] Kiểm thử hệ thống (System Test)</t>
  </si>
  <si>
    <t>Bộ kịch bản kiểm thử hệ thống; Báo cáo kiểm thử chức năng; Báo cáo kiểm thử hiệu năng; Báo cáo kiểm thử bảo mật; Báo cáo regression test; Bản build đã fix defect + Verify log; ... (tổng 7 sản phẩm, chi tiết tại WBS)</t>
  </si>
  <si>
    <t>25/01/2027 - 07/02/2027</t>
  </si>
  <si>
    <t>C.7. [SDLC-Testing] Kiểm thử chấp nhận (User Acceptance Test)</t>
  </si>
  <si>
    <t>Kịch bản UAT đã ký thống nhất; Biên bản onboarding UAT + Tài liệu hướng dẫn; Nhật ký hỗ trợ UAT; Defect Log UAT + Bản build đã fix; Biên bản UAT có ký của khách hàng; Biên bản phê duyệt UAT</t>
  </si>
  <si>
    <t>05/02/2027 - 12/02/2027</t>
  </si>
  <si>
    <t>C.8. [SDLC-Deployment] Chuyển đổi dữ liệu (Data Migration)</t>
  </si>
  <si>
    <t>Báo cáo phân tích dữ liệu nguồn + Mapping; Bộ script ETL; Báo cáo Data Quality Check; Báo cáo Reconciliation có ký nhận</t>
  </si>
  <si>
    <t>08/02/2027 - 16/02/2027</t>
  </si>
  <si>
    <t>C.9. [SDLC-Deployment] Đào tạo người dùng (Train-the-Trainer)</t>
  </si>
  <si>
    <t>Bộ tài liệu đào tạo; Kịch bản đào tạo; Biên bản đào tạo super users + Kết quả kiểm tra; Biên bản đào tạo người dùng cuối; Biên bản đào tạo tổng hợp</t>
  </si>
  <si>
    <t>08/02/2027 - 22/02/2027</t>
  </si>
  <si>
    <t>C.10. [SDLC-Deployment] Go-live (Phased Rollout) + Hyper-care</t>
  </si>
  <si>
    <t>Bản build M0 trên Production + Biên bản Go-live M0; Bản build M1 trên Production + Biên bản Go-live M1; Bản build M2 trên Production + Biên bản Go-live M2; Nhật ký hyper-care; ... (tổng 6 sản phẩm, chi tiết tại WBS)</t>
  </si>
  <si>
    <t>15/02/2027 - 28/02/2027</t>
  </si>
  <si>
    <t>D.1. Giám sát tiến độ và chi phí bằng EVM (hàng tháng, 6 kỳ)</t>
  </si>
  <si>
    <t>Bảng dữ liệu EVM tháng; Bảng chỉ số EVM + S-curve cập nhật; Báo cáo EVM tháng; Nhật ký sai lệch + Biện pháp điều khiển</t>
  </si>
  <si>
    <t>Định kỳ cuối tháng: 30/09, 31/10, 30/11, 31/12/2026, 31/01/2027 và 25/02/2027 (kỳ 6, trước nghiệm thu)</t>
  </si>
  <si>
    <t>Giám sát &amp; Điều khiển</t>
  </si>
  <si>
    <t>D.2. Giám sát rủi ro (định kỳ 2 tuần)</t>
  </si>
  <si>
    <t>Biên bản họp rà soát rủi ro; Sổ đăng ký rủi ro cập nhật; Báo cáo rủi ro nhóm A</t>
  </si>
  <si>
    <t>Định kỳ 2 tuần: dự kiến các ngày 15 và 30 hàng tháng từ 10/2026 đến 02/2027</t>
  </si>
  <si>
    <t>D.3. Quản lý thay đổi qua CCB (theo yêu cầu, dự kiến 5-8 phiên)</t>
  </si>
  <si>
    <t>Change Log (nhật ký thay đổi); Báo cáo Impact Analysis cho từng CR; Biên bản họp CCB; Baseline cập nhật + Thông báo thay đổi</t>
  </si>
  <si>
    <t>Theo yêu cầu trong toàn dự án</t>
  </si>
  <si>
    <t>D.4. Kiểm soát chất lượng deliverable</t>
  </si>
  <si>
    <t>Checklist nghiệm thu deliverable; Peer Review Log; Defect Log nội bộ; Biên bản nghiệm thu nội bộ</t>
  </si>
  <si>
    <t>Sau mỗi deliverable hoàn thành trong toàn dự án</t>
  </si>
  <si>
    <t>D.5. Truyền thông và báo cáo (theo nhịp điệu)</t>
  </si>
  <si>
    <t>Biên bản họp tuần; Báo cáo tiến độ 2 tuần; Báo cáo tháng gửi Ban Chỉ đạo; Báo cáo cột mốc; Biên bản demo</t>
  </si>
  <si>
    <t>Định kỳ hàng thứ Hai từ 07/09/2026 đến 22/02/2027 (~24 phiên)</t>
  </si>
  <si>
    <t>E.1. Nghiệm thu chính thức và bàn giao hồ sơ dự án</t>
  </si>
  <si>
    <t>Biên bản nghiệm thu tổng thể; Hồ sơ dự án hoàn chỉnh; Hồ sơ quyết toán chi phí; Biên bản nghiệm thu chính thức có ký của Ban Chỉ đạo; Biên bản đóng hợp đồng</t>
  </si>
  <si>
    <t>23/02/2027 - 26/02/2027</t>
  </si>
  <si>
    <t>Kết thúc</t>
  </si>
  <si>
    <t>E.2. Tổng kết Lessons Learned</t>
  </si>
  <si>
    <t>Báo cáo phân tích sai lệch tổng thể; Báo cáo Lessons Learned; Knowledge Base cập nhật</t>
  </si>
  <si>
    <t>24/02/2027 - 26/02/2027</t>
  </si>
  <si>
    <t>TỔNG CỘNG KINH PHÍ CÔNG LAO ĐỘNG</t>
  </si>
  <si>
    <t>PHỤ LỤC DỰ TOÁN KINH PHÍ
1. CÔNG LAO ĐỘNG KHOA HỌC (KHOÁN CHI)</t>
  </si>
  <si>
    <t>ĐỀ TÀI</t>
  </si>
  <si>
    <t>XÂY DỰNG HỆ THỐNG QUẢN TRỊ NHÂN SỰ (HRMS) CHO DOANH NGHIỆP VỪA VÀ NHỎ (SME)</t>
  </si>
  <si>
    <t>MÃ SỐ</t>
  </si>
  <si>
    <t>VB2-CNTT-K69(1)-N02</t>
  </si>
  <si>
    <t>CHỦ TRÌ</t>
  </si>
  <si>
    <t>Mức khoán ngày công cơ sở (đồng/ngày công chuẩn):</t>
  </si>
  <si>
    <t>TT</t>
  </si>
  <si>
    <t>Họ và tên</t>
  </si>
  <si>
    <t>Nhiệm vụ trong dự án</t>
  </si>
  <si>
    <t>Hệ số nhiệm vụ</t>
  </si>
  <si>
    <t>Tỷ trọng</t>
  </si>
  <si>
    <t>Chủ nhiệm dự án (Giám đốc dự án)</t>
  </si>
  <si>
    <t>Thành viên chính (Kiến trúc sư trưởng)</t>
  </si>
  <si>
    <t>Thành viên chính (DevOps &amp; Test Lead)</t>
  </si>
  <si>
    <t>Thành viên (Phân tích nghiệp vụ - SRS)</t>
  </si>
  <si>
    <t>Thành viên (Phân tích nghiệp vụ - Khảo sát)</t>
  </si>
  <si>
    <t>TỔNG CỘNG</t>
  </si>
  <si>
    <t>Bằng chữ: Bốn trăm bốn mươi bảy triệu chín trăm bảy mươi tư nghìn bốn trăm năm mươi đồng.</t>
  </si>
  <si>
    <t>ĐỐI CHIẾU</t>
  </si>
  <si>
    <t>Tổng ngày công theo WBS (EST chốt)</t>
  </si>
  <si>
    <t>Chênh lệch ngày công so với WBS (phải bằng 0)</t>
  </si>
  <si>
    <t>Tổng thành tiền theo sheet CongViec</t>
  </si>
  <si>
    <t>Chênh lệch thành tiền so với sheet CongViec (phải bằng 0)</t>
  </si>
  <si>
    <t>CHÚ THÍCH</t>
  </si>
  <si>
    <t>• Số ngày công</t>
  </si>
  <si>
    <t>Tự động cộng dồn từ sheet CongViec theo cột "Người thực hiện" (hàm SUMIF), truy vết trực tiếp về WBS.</t>
  </si>
  <si>
    <t>• Hệ số nhiệm vụ</t>
  </si>
  <si>
    <t>Phân theo vai trò trong Tôn chỉ dự án: Chủ nhiệm 0,75; Thành viên chính 0,60; Thành viên 0,55. Đây là ô nhập liệu, sửa được.</t>
  </si>
  <si>
    <t>• Định mức/ngày công</t>
  </si>
  <si>
    <t>Công thức: Hệ số nhiệm vụ × Mức khoán ngày công cơ sở (ô E5 = 2.530.000 đ/ngày công chuẩn, do nhóm ấn định).</t>
  </si>
  <si>
    <t>• Trần tải nguồn lực</t>
  </si>
  <si>
    <t>60 person-day/người theo WBS; số ngày công của mỗi thành viên không vượt trần này.</t>
  </si>
  <si>
    <t>Hà Nội, ngày ..... tháng ..... năm 2026</t>
  </si>
  <si>
    <t>CHỦ NHIỆM DỰ ÁN</t>
  </si>
  <si>
    <t>NGƯỜI LẬP BẢNG</t>
  </si>
  <si>
    <t>BẢNG DỰ TOÁN KINH PHÍ</t>
  </si>
  <si>
    <t>THỜI GIAN</t>
  </si>
  <si>
    <t>06 tháng, từ 01/09/2026 đến 28/02/2027</t>
  </si>
  <si>
    <t>Danh mục</t>
  </si>
  <si>
    <t>Số tiền (đ)</t>
  </si>
  <si>
    <t>Ghi chú</t>
  </si>
  <si>
    <t>Công lao động khoa học (thuê khoán chuyên môn)</t>
  </si>
  <si>
    <t>Chi tiết tại sheet CongLaoDong và CongViec; tổng hợp từ 137 gói công việc của WBS.</t>
  </si>
  <si>
    <t>Vật tư, thiết bị (hạ tầng cloud + license công cụ)</t>
  </si>
  <si>
    <t>Chi tiết tại sheet Thiết bị vật tư; phân bổ theo 03 giai đoạn triển khai.</t>
  </si>
  <si>
    <t>Chi khác (khảo sát, hội họp, VPP, quản lý, dự phòng)</t>
  </si>
  <si>
    <t>Chi tiết tại sheet Chi khác; gồm chi phí quản lý 5% và khoản dự phòng tự cân đối.</t>
  </si>
  <si>
    <t>Bằng chữ: Sáu trăm bốn mươi triệu đồng chẵn.</t>
  </si>
  <si>
    <t>ĐỐI CHIẾU VỚI TÔN CHỈ DỰ ÁN (COST BASELINE)</t>
  </si>
  <si>
    <t>Chỉ tiêu</t>
  </si>
  <si>
    <t>Giá trị (đ)</t>
  </si>
  <si>
    <t>Tổng kinh phí được duyệt theo Tôn chỉ dự án</t>
  </si>
  <si>
    <t>Ô nhập liệu gốc đặt tại sheet Chi khác, ô D5.</t>
  </si>
  <si>
    <t>Chênh lệch Tổng dự toán − Tổng được duyệt</t>
  </si>
  <si>
    <t>Phải bằng 0; dòng Dự phòng tại sheet Chi khác tự cân đối.</t>
  </si>
  <si>
    <t>Chỉ tiêu thuê khoán chuyên môn (70% tổng kinh phí)</t>
  </si>
  <si>
    <t>Giữ đúng tỷ trọng 70% tổng kinh phí theo Tôn chỉ dự án (70% × 640.000.000 đ).</t>
  </si>
  <si>
    <t>Chênh lệch Công lao động so với chỉ tiêu</t>
  </si>
  <si>
    <t>Phần chênh được điều chỉnh vào khoản Dự phòng của sheet Chi khác.</t>
  </si>
  <si>
    <t>Tỷ lệ sai lệch Công lao động</t>
  </si>
  <si>
    <t>Ngưỡng kiểm soát theo Tôn chỉ dự án: không vượt quá ±10%.</t>
  </si>
  <si>
    <t>PHỤ LỤC DỰ TOÁN KINH PHÍ
2. VẬT TƯ, THIẾT BỊ (HẠ TẦNG CLOUD VÀ LICENSE CÔNG CỤ)</t>
  </si>
  <si>
    <t>Vật tư, thiết bị phục vụ đề tài - phân bổ theo 03 giai đoạn triển khai</t>
  </si>
  <si>
    <t>TÊN VẬT TƯ, THIẾT BỊ, DỊCH VỤ</t>
  </si>
  <si>
    <t>ĐƠN VỊ TÍNH</t>
  </si>
  <si>
    <t>SỐ LƯỢNG</t>
  </si>
  <si>
    <t>ĐƠN GIÁ (đ)</t>
  </si>
  <si>
    <t>THÀNH TIỀN (đ)</t>
  </si>
  <si>
    <t>I</t>
  </si>
  <si>
    <t>Giai đoạn 1 - Thiết lập môi trường và công cụ (T9-T10/2026)</t>
  </si>
  <si>
    <t>Thuê hạ tầng cloud môi trường Development</t>
  </si>
  <si>
    <t>tháng</t>
  </si>
  <si>
    <t>VPS/container cho nhóm phát triển, từ T10/2026 đến T02/2027</t>
  </si>
  <si>
    <t>Thuê hạ tầng cloud môi trường Staging</t>
  </si>
  <si>
    <t>Môi trường kiểm thử tích hợp, cấu hình gần giống Production</t>
  </si>
  <si>
    <t>License bộ công cụ QLDA (Jira/Confluence)</t>
  </si>
  <si>
    <t>user-tháng</t>
  </si>
  <si>
    <t>05 thành viên × 06 tháng</t>
  </si>
  <si>
    <t>License công cụ thiết kế giao diện (Figma)</t>
  </si>
  <si>
    <t>02 thành viên × 04 tháng, phục vụ wireframe - mockup - prototype</t>
  </si>
  <si>
    <t>II</t>
  </si>
  <si>
    <t>Giai đoạn 2 - Phát triển và kiểm thử (T11/2026-T01/2027)</t>
  </si>
  <si>
    <t>License công cụ phân tích tĩnh mã nguồn (SonarQube)</t>
  </si>
  <si>
    <t>gói</t>
  </si>
  <si>
    <t>Phục vụ công việc "Phân tích tĩnh mã nguồn" của WBS</t>
  </si>
  <si>
    <t>License công cụ kiểm thử hiệu năng và bảo mật</t>
  </si>
  <si>
    <t>Phục vụ kiểm thử Load/Stress và quét OWASP Top 10</t>
  </si>
  <si>
    <t>III</t>
  </si>
  <si>
    <t>Giai đoạn 3 - Triển khai và vận hành (T12/2026-T02/2027)</t>
  </si>
  <si>
    <t>Thuê hạ tầng cloud môi trường Production</t>
  </si>
  <si>
    <t>Đã gồm dung lượng lưu trữ và băng thông phục vụ go-live; từ T12/2026 đến T02/2027</t>
  </si>
  <si>
    <t>Dịch vụ sao lưu và giám sát hệ thống</t>
  </si>
  <si>
    <t>Backup định kỳ và monitoring theo Configuration Management Plan; từ T12/2026 đến T02/2027</t>
  </si>
  <si>
    <t>Chứng thư số SSL cho môi trường Production</t>
  </si>
  <si>
    <t>chứng thư</t>
  </si>
  <si>
    <t>Yêu cầu bảo mật theo đặc tả phi chức năng (NFR)</t>
  </si>
  <si>
    <t>Thiết bị, phụ kiện tích hợp máy chấm công</t>
  </si>
  <si>
    <t>bộ</t>
  </si>
  <si>
    <t>Phục vụ tích hợp máy chấm công (T01/2027); chỉ mua sau khi kiểm chứng khả năng kết nối (R13)</t>
  </si>
  <si>
    <t>Bằng chữ: Bốn mươi sáu triệu đồng chẵn.</t>
  </si>
  <si>
    <t>• Cơ sở lập dự toán</t>
  </si>
  <si>
    <t>Chỉ tiêu "Hạ tầng cloud + license công cụ" 46.000.000 đ, giữ tỷ trọng 7,2% tổng kinh phí như Tôn chỉ dự án.</t>
  </si>
  <si>
    <t>• Nguyên tắc</t>
  </si>
  <si>
    <t>Thuê dịch vụ theo thời gian sử dụng thực tế, không mua sắm tài sản cố định.</t>
  </si>
  <si>
    <t>PHỤ LỤC DỰ TOÁN KINH PHÍ
3. CHI KHÁC (KHẢO SÁT, HỘI HỌP, VĂN PHÒNG PHẨM, QUẢN LÝ, DỰ PHÒNG)</t>
  </si>
  <si>
    <t>Tổng kinh phí được duyệt theo Tôn chỉ dự án (đồng):</t>
  </si>
  <si>
    <t>NỘI DUNG</t>
  </si>
  <si>
    <t>Mô tả chi tiết</t>
  </si>
  <si>
    <t>SỐ TIỀN (đ)</t>
  </si>
  <si>
    <t>Khảo sát và đi lại</t>
  </si>
  <si>
    <t>Đi lại khảo sát hiện trạng As-Is tại doanh nghiệp</t>
  </si>
  <si>
    <t>12 lượt × 650.000 đ - phỏng vấn 03 nhóm HR/Manager/Employee và quan sát chu kỳ chốt công</t>
  </si>
  <si>
    <t>Đi lại hỗ trợ UAT và đào tạo người dùng</t>
  </si>
  <si>
    <t>10 lượt × 650.000 đ - onboarding UAT, hỗ trợ on-site, đào tạo super users và người dùng cuối</t>
  </si>
  <si>
    <t>Đi lại hỗ trợ hyper-care sau go-live</t>
  </si>
  <si>
    <t>10 lượt × 650.000 đ - hỗ trợ tại chỗ trong 02 tuần đầu sau go-live M2</t>
  </si>
  <si>
    <t>Công tác phí khảo sát chu kỳ chốt công</t>
  </si>
  <si>
    <t>Tham dự trọn 01 chu kỳ chấm công - chốt công tại doanh nghiệp</t>
  </si>
  <si>
    <t>Hội họp, đào tạo, demo</t>
  </si>
  <si>
    <t>Workshop xác nhận SRS với khách hàng</t>
  </si>
  <si>
    <t>01 buổi workshop xác nhận và ký nháp SRS v1.0 (cột mốc M3)</t>
  </si>
  <si>
    <t>Hội nghị đào tạo super users và người dùng cuối</t>
  </si>
  <si>
    <t>Đào tạo super users 02 ngày và đào tạo người dùng cuối theo mô hình Train-the-Trainer</t>
  </si>
  <si>
    <t>Tổ chức demo sau mỗi increment và demo UAT</t>
  </si>
  <si>
    <t>04 phiên: M0 (07/01), M1 (18/01), M2 (28/01) và demo UAT (12/02/2027)</t>
  </si>
  <si>
    <t>Họp Ban Chỉ đạo, họp CCB và nghiệm thu</t>
  </si>
  <si>
    <t>Họp phê duyệt các cột mốc M1-M8, họp CCB (dự kiến 5-8 phiên) và nghiệm thu tổng thể</t>
  </si>
  <si>
    <t>In ấn, tài liệu, văn phòng phẩm</t>
  </si>
  <si>
    <t>In ấn, đóng quyển hồ sơ quản trị dự án</t>
  </si>
  <si>
    <t>06 bộ hồ sơ: Thuyết minh và Tôn chỉ dự án; bộ tài liệu QLDA; As-Is và SRS; khảo sát công nghệ; phân tích - thiết kế; báo cáo tổng hợp</t>
  </si>
  <si>
    <t>In tài liệu đào tạo, User Guide, Admin Guide</t>
  </si>
  <si>
    <t>Tài liệu đào tạo cho 03 vai trò, User Guide, Admin Guide và Operation Runbook</t>
  </si>
  <si>
    <t>Văn phòng phẩm phục vụ khảo sát, họp, nghiệm thu</t>
  </si>
  <si>
    <t>Phô tô biểu mẫu, bảng hỏi phỏng vấn, biên bản họp và biên bản nghiệm thu trong toàn dự án</t>
  </si>
  <si>
    <t>IV</t>
  </si>
  <si>
    <t>Chi phí quản lý và dự phòng</t>
  </si>
  <si>
    <t>Chi phí quản lý dự án</t>
  </si>
  <si>
    <t>5% tổng kinh phí được duyệt (= 5% × 640.000.000 đ) theo Tôn chỉ dự án</t>
  </si>
  <si>
    <t>Dự phòng</t>
  </si>
  <si>
    <t>Tự cân đối: Tổng kinh phí được duyệt trừ Công lao động, Vật tư thiết bị và các khoản Chi khác đã liệt kê</t>
  </si>
  <si>
    <t>Bằng chữ: Một trăm bốn mươi sáu triệu không trăm hai mươi lăm nghìn năm trăm năm mươi đồng.</t>
  </si>
  <si>
    <t>Khảo sát và đi lại 26.000.000 đ; Hội họp, đào tạo, demo 18.000.000 đ; In ấn, tài liệu, VPP 13.000.000 đ; Chi phí quản lý 5% = 32.000.000 đ; phần còn lại là Dự phòng. Cơ cấu giữ đúng tỷ trọng của Tôn chỉ dự án.</t>
  </si>
  <si>
    <t>• Dòng Dự phòng</t>
  </si>
  <si>
    <t>Là công thức tự cân đối để Tổng dự toán luôn bằng Tổng kinh phí được duyệt (ô D5); khi điều chỉnh bất kỳ khoản mục nào, Dự phòng thay đổi tương ứng.</t>
  </si>
  <si>
    <t>PHỤ LỤC DỰ TOÁN KINH PHÍ
4. KẾ HOẠCH THANH TOÁN VÀ DÒNG TIỀN DỰ ÁN</t>
  </si>
  <si>
    <t>Giá trị hợp đồng với Chủ đầu tư (đồng):</t>
  </si>
  <si>
    <t>Liên kết từ sheet Chi khác (Tổng kinh phí được duyệt theo Tôn chỉ dự án). Hợp đồng trọn gói, thanh toán theo cột mốc nghiệm thu.</t>
  </si>
  <si>
    <t>Số ngày làm việc từ khi nghiệm thu đến khi nhận tiền:</t>
  </si>
  <si>
    <t>Theo điều khoản thanh toán đề xuất trong hợp đồng: Chủ đầu tư thanh toán trong 07 ngày làm việc kể từ khi nhận đủ hồ sơ hợp lệ.</t>
  </si>
  <si>
    <t>I. KẾ HOẠCH THANH TOÁN THEO CỘT MỐC NGHIỆM THU</t>
  </si>
  <si>
    <t>Đợt thanh toán</t>
  </si>
  <si>
    <t>Cột mốc nghiệm thu</t>
  </si>
  <si>
    <t>Ngày cột mốc</t>
  </si>
  <si>
    <t>Điều kiện thanh toán (hồ sơ kèm theo)</t>
  </si>
  <si>
    <t>Tỷ lệ (%)</t>
  </si>
  <si>
    <t>Ngày nhận tiền dự kiến</t>
  </si>
  <si>
    <t>Lũy kế thu (đ)</t>
  </si>
  <si>
    <t>Đợt 1 - Tạm ứng</t>
  </si>
  <si>
    <t>M1 - Phê duyệt Project Charter</t>
  </si>
  <si>
    <t>Hợp đồng đã ký; Biên bản phê duyệt Project Charter; đề nghị tạm ứng</t>
  </si>
  <si>
    <t>Khởi động dự án, chi trả giai đoạn Khởi tạo - Lập kế hoạch</t>
  </si>
  <si>
    <t>Đợt 2</t>
  </si>
  <si>
    <t>M2 - Phê duyệt các baseline</t>
  </si>
  <si>
    <t>Kế hoạch quản trị dự án tổng thể được Ban Chỉ đạo phê duyệt; biên bản nghiệm thu cột mốc</t>
  </si>
  <si>
    <t>Bù chi giai đoạn Khảo sát công nghệ, khảo sát As-Is</t>
  </si>
  <si>
    <t>Đợt 3</t>
  </si>
  <si>
    <t>M3 - Ký xác nhận SRS</t>
  </si>
  <si>
    <t>SRS v1.0 và RTM có chữ ký xác nhận của Chủ đầu tư</t>
  </si>
  <si>
    <t>Bù chi giai đoạn Phân tích - Thiết kế</t>
  </si>
  <si>
    <t>Đợt 4</t>
  </si>
  <si>
    <t>M4 - Nghiệm thu thiết kế</t>
  </si>
  <si>
    <t>Báo cáo phân tích - thiết kế hệ thống được nghiệm thu</t>
  </si>
  <si>
    <t>Đợt lớn nhất, đón trước giai đoạn Phát triển (chi cao nhất)</t>
  </si>
  <si>
    <t>Đợt 5</t>
  </si>
  <si>
    <t>M6 - UAT đạt</t>
  </si>
  <si>
    <t>Biên bản UAT có chữ ký khách hàng; Biên bản phê duyệt UAT</t>
  </si>
  <si>
    <t>Bù chi giai đoạn Kiểm thử - Triển khai</t>
  </si>
  <si>
    <t>Đợt 6 - Quyết toán</t>
  </si>
  <si>
    <t>M8 - Nghiệm thu chính thức</t>
  </si>
  <si>
    <t>Biên bản nghiệm thu chính thức (M8); hồ sơ quyết toán; biên bản đóng hợp đồng</t>
  </si>
  <si>
    <t>Khoản giữ lại đến khi quyết toán</t>
  </si>
  <si>
    <t>II. DÒNG TIỀN DỰ KIẾN THEO THÁNG (CHI THEO COST BASELINE, THU THEO KẾ HOẠCH THANH TOÁN)</t>
  </si>
  <si>
    <t>Tháng</t>
  </si>
  <si>
    <t>Ngày cuối tháng</t>
  </si>
  <si>
    <t>Chi công lao động (đ)</t>
  </si>
  <si>
    <t>Chi vật tư, thiết bị (đ)</t>
  </si>
  <si>
    <t>Chi khác, không gồm dự phòng (đ)</t>
  </si>
  <si>
    <t>Tổng chi trong tháng (đ)</t>
  </si>
  <si>
    <t>Lũy kế chi (đ)</t>
  </si>
  <si>
    <t>Thu trong tháng (đ)</t>
  </si>
  <si>
    <t>Chênh lệch lũy kế thu - chi (đ)</t>
  </si>
  <si>
    <t>T09/2026</t>
  </si>
  <si>
    <t>T10/2026</t>
  </si>
  <si>
    <t>T11/2026</t>
  </si>
  <si>
    <t>T12/2026</t>
  </si>
  <si>
    <t>T01/2027</t>
  </si>
  <si>
    <t>T02/2027</t>
  </si>
  <si>
    <t>T03/2027</t>
  </si>
  <si>
    <t>III. ĐỐI CHIẾU</t>
  </si>
  <si>
    <t>Chênh lệch chi công lao động so với sheet CongLaoDong</t>
  </si>
  <si>
    <t>Phải bằng 0</t>
  </si>
  <si>
    <t>Chênh lệch chi vật tư, thiết bị so với sheet Thiết bị vật tư</t>
  </si>
  <si>
    <t>Chênh lệch chi khác so với sheet Chi khác (không gồm dự phòng)</t>
  </si>
  <si>
    <t>Chênh lệch tổng thu so với giá trị hợp đồng</t>
  </si>
  <si>
    <t>Chênh lệch lũy kế cuối dự án so với khoản Dự phòng</t>
  </si>
  <si>
    <t>Phải bằng 0: phần dư cuối dự án đúng bằng khoản dự phòng chưa sử dụng</t>
  </si>
  <si>
    <t>Số tháng có chênh lệch lũy kế thu - chi âm</t>
  </si>
  <si>
    <t>Phải bằng 0: dự án không thiếu hụt dòng tiền tại mọi thời điểm cuối tháng</t>
  </si>
  <si>
    <t>Chênh lệch lũy kế thu - chi thấp nhất trong kỳ</t>
  </si>
  <si>
    <t>Biên an toàn dòng tiền; thấp nhất rơi vào tháng 12/2026</t>
  </si>
  <si>
    <t>• Ngày cột mốc</t>
  </si>
  <si>
    <t>Theo danh mục cột mốc M1-M8 tại Bảng phân rã công việc: M1 11/09/2026; M2 09/10/2026; M3 04/12/2026; M4 25/12/2026; M6 12/02/2027; M8 26/02/2027.</t>
  </si>
  <si>
    <t>• Ngày nhận tiền</t>
  </si>
  <si>
    <t>Công thức WORKDAY(Ngày cột mốc; ô D6), chỉ loại trừ thứ Bảy, Chủ nhật; chưa trừ ngày nghỉ lễ, Tết.</t>
  </si>
  <si>
    <t>• Thu trong tháng</t>
  </si>
  <si>
    <t>Công thức SUMIFS cộng các đợt có Ngày nhận tiền rơi vào tháng tương ứng.</t>
  </si>
  <si>
    <t>• Phân bổ chi theo tháng</t>
  </si>
  <si>
    <t>Công lao động của nhóm công việc có thời gian cụ thể (A, B, C, E tại sheet CongViec) được chia theo số ngày lịch rơi vào từng tháng; nhóm D (giám sát xuyên suốt) chia đều cho các tháng hoạt động. Vật tư, thiết bị và chi khác phân bổ theo thời điểm sử dụng ghi tại sheet Thiết bị vật tư và Chi khác. Số lẻ làm tròn được dồn vào tháng 02/2027.</t>
  </si>
  <si>
    <t>• Giả định dòng chi</t>
  </si>
  <si>
    <t>Chi phí được thanh toán vào cuối tháng phát sinh; khoản Dự phòng không đưa vào dòng chi kế hoạch và chỉ sử dụng khi được phê duyệt theo Kế hoạch quản lý rủi ro.</t>
  </si>
  <si>
    <t>• Nguyên tắc lập kế hoạch</t>
  </si>
  <si>
    <t>Chênh lệch lũy kế thu - chi không âm tại mọi thời điểm cuối tháng; đợt thanh toán lớn nhất (25%) đặt trước giai đoạn Phát triển; giữ lại 5% đến khi nghiệm thu chính thức và quyết toán.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</si>
</sst>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dd/mm/yyyy"/>
    <numFmt numFmtId="167" formatCode="#,##0;[Red]\-#,##0"/>
  </numFmts>
  <fonts count="20">
    <font>
      <sz val="11"/>
      <color theme="1"/>
      <name val="Calibri"/>
      <family val="2"/>
      <scheme val="minor"/>
    </font>
    <font>
      <b/>
      <sz val="11"/>
      <name val="Arial"/>
    </font>
    <font>
      <i/>
      <sz val="9"/>
      <name val="Arial"/>
    </font>
    <font>
      <b/>
      <sz val="9"/>
      <color rgb="FF000000"/>
      <name val="Arial"/>
    </font>
    <font>
      <sz val="9"/>
      <color rgb="FF000000"/>
      <name val="Arial"/>
    </font>
    <font>
      <b/>
      <sz val="10"/>
      <color rgb="FF000000"/>
      <name val="Arial"/>
    </font>
    <font>
      <i/>
      <sz val="9"/>
      <color rgb="FF000000"/>
      <name val="Arial"/>
    </font>
    <font>
      <b/>
      <sz val="9"/>
      <color rgb="FF0000FF"/>
      <name val="Arial"/>
    </font>
    <font>
      <sz val="9"/>
      <color rgb="FF0000FF"/>
      <name val="Arial"/>
    </font>
    <font>
      <sz val="9"/>
      <color rgb="FF008000"/>
      <name val="Arial"/>
    </font>
    <font>
      <b/>
      <sz val="13"/>
      <name val="Arial"/>
    </font>
    <font>
      <b/>
      <i/>
      <sz val="9"/>
      <color rgb="FF000000"/>
      <name val="Arial"/>
    </font>
    <font>
      <sz val="9"/>
      <color theme="1"/>
      <name val="Arial"/>
      <family val="2"/>
    </font>
    <font>
      <b/>
      <sz val="9"/>
      <color theme="1"/>
      <name val="Arial"/>
      <family val="2"/>
    </font>
    <font>
      <b/>
      <sz val="11"/>
      <color theme="1"/>
      <name val="Arial"/>
      <family val="2"/>
    </font>
    <font>
      <sz val="9"/>
      <color rgb="FF008000"/>
      <name val="Arial"/>
      <family val="2"/>
    </font>
    <font>
      <b/>
      <sz val="9"/>
      <color rgb="FF008000"/>
      <name val="Arial"/>
      <family val="2"/>
    </font>
    <font>
      <sz val="9"/>
      <color rgb="FF0000FF"/>
      <name val="Arial"/>
      <family val="2"/>
    </font>
    <font>
      <b/>
      <sz val="9"/>
      <color rgb="FF0000FF"/>
      <name val="Arial"/>
      <family val="2"/>
    </font>
    <font>
      <b/>
      <sz val="10"/>
      <color theme="1"/>
      <name val="Arial"/>
      <family val="2"/>
    </font>
  </fonts>
  <fills count="8">
    <fill>
      <patternFill patternType="none"/>
    </fill>
    <fill>
      <patternFill patternType="gray125"/>
    </fill>
    <fill>
      <patternFill patternType="solid">
        <fgColor rgb="FFFFE699"/>
      </patternFill>
    </fill>
    <fill>
      <patternFill patternType="solid">
        <fgColor rgb="FFFFF2CC"/>
      </patternFill>
    </fill>
    <fill>
      <patternFill patternType="solid">
        <fgColor rgb="FFD9E1F2"/>
      </patternFill>
    </fill>
    <fill>
      <patternFill patternType="solid">
        <fgColor rgb="FFFFF2CC"/>
        <bgColor indexed="64"/>
      </patternFill>
    </fill>
    <fill>
      <patternFill patternType="solid">
        <fgColor rgb="FFD9E1F2"/>
        <bgColor indexed="64"/>
      </patternFill>
    </fill>
    <fill>
      <patternFill patternType="solid">
        <fgColor rgb="FFFFE699"/>
        <bgColor indexed="64"/>
      </patternFill>
    </fill>
  </fills>
  <borders count="8">
    <border>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right/>
      <top/>
      <bottom style="thin">
        <color rgb="FF80808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0">
    <xf numFmtId="0" fontId="0" fillId="0" borderId="0" xfId="0"/>
    <xf numFmtId="0" fontId="3" fillId="2" borderId="1" xfId="0" applyFont="1" applyFill="1" applyBorder="1" applyAlignment="1">
      <alignment horizontal="center" vertical="center" wrapText="1"/>
    </xf>
    <xf numFmtId="0" fontId="0" fillId="2" borderId="1" xfId="0" applyFill="1" applyBorder="1"/>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164" fontId="4" fillId="0" borderId="1" xfId="0" applyNumberFormat="1" applyFont="1" applyBorder="1" applyAlignment="1">
      <alignment horizontal="center" vertical="center" wrapText="1"/>
    </xf>
    <xf numFmtId="3" fontId="4" fillId="0" borderId="1" xfId="0" applyNumberFormat="1" applyFont="1" applyBorder="1" applyAlignment="1">
      <alignment horizontal="right" vertical="center" wrapText="1"/>
    </xf>
    <xf numFmtId="0" fontId="5" fillId="2" borderId="1" xfId="0" applyFont="1" applyFill="1" applyBorder="1" applyAlignment="1">
      <alignment horizontal="left" vertical="center" wrapText="1"/>
    </xf>
    <xf numFmtId="164" fontId="5" fillId="2" borderId="1" xfId="0" applyNumberFormat="1" applyFont="1" applyFill="1" applyBorder="1" applyAlignment="1">
      <alignment horizontal="center" vertical="center" wrapText="1"/>
    </xf>
    <xf numFmtId="3" fontId="5" fillId="2" borderId="1" xfId="0" applyNumberFormat="1" applyFont="1" applyFill="1" applyBorder="1" applyAlignment="1">
      <alignment horizontal="right" vertical="center" wrapText="1"/>
    </xf>
    <xf numFmtId="0" fontId="3" fillId="0" borderId="0" xfId="0" applyFont="1" applyAlignment="1">
      <alignment horizontal="left" vertical="center" wrapText="1"/>
    </xf>
    <xf numFmtId="3" fontId="7" fillId="3" borderId="1" xfId="0" applyNumberFormat="1" applyFont="1" applyFill="1" applyBorder="1" applyAlignment="1">
      <alignment horizontal="right" vertical="center" wrapText="1"/>
    </xf>
    <xf numFmtId="2" fontId="8" fillId="3" borderId="1" xfId="0" applyNumberFormat="1" applyFont="1" applyFill="1" applyBorder="1" applyAlignment="1">
      <alignment horizontal="center" vertical="center" wrapText="1"/>
    </xf>
    <xf numFmtId="165" fontId="4" fillId="0" borderId="1" xfId="0" applyNumberFormat="1" applyFont="1" applyBorder="1" applyAlignment="1">
      <alignment horizontal="center" vertical="center" wrapText="1"/>
    </xf>
    <xf numFmtId="165" fontId="5" fillId="2" borderId="1" xfId="0" applyNumberFormat="1" applyFont="1" applyFill="1" applyBorder="1" applyAlignment="1">
      <alignment horizontal="center" vertical="center" wrapText="1"/>
    </xf>
    <xf numFmtId="164" fontId="9" fillId="0" borderId="0" xfId="0" applyNumberFormat="1" applyFont="1" applyAlignment="1">
      <alignment horizontal="right" vertical="center" wrapText="1"/>
    </xf>
    <xf numFmtId="3" fontId="9" fillId="0" borderId="0" xfId="0" applyNumberFormat="1" applyFont="1" applyAlignment="1">
      <alignment horizontal="right" vertical="center" wrapText="1"/>
    </xf>
    <xf numFmtId="0" fontId="4" fillId="0" borderId="0" xfId="0" applyFont="1" applyAlignment="1">
      <alignment horizontal="center" vertical="center" wrapText="1"/>
    </xf>
    <xf numFmtId="0" fontId="3" fillId="0" borderId="0" xfId="0" applyFont="1" applyAlignment="1">
      <alignment horizontal="center" vertical="center" wrapText="1"/>
    </xf>
    <xf numFmtId="3" fontId="9" fillId="0" borderId="1" xfId="0" applyNumberFormat="1" applyFont="1" applyBorder="1" applyAlignment="1">
      <alignment horizontal="right" vertical="center" wrapText="1"/>
    </xf>
    <xf numFmtId="3" fontId="8" fillId="3" borderId="1" xfId="0" applyNumberFormat="1" applyFont="1" applyFill="1" applyBorder="1" applyAlignment="1">
      <alignment horizontal="right" vertical="center" wrapText="1"/>
    </xf>
    <xf numFmtId="165" fontId="9" fillId="0" borderId="1" xfId="0" applyNumberFormat="1" applyFont="1" applyBorder="1" applyAlignment="1">
      <alignment horizontal="right"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0" fillId="4" borderId="1" xfId="0" applyFill="1" applyBorder="1"/>
    <xf numFmtId="1" fontId="8" fillId="3" borderId="1" xfId="0" applyNumberFormat="1" applyFont="1" applyFill="1" applyBorder="1" applyAlignment="1">
      <alignment horizontal="center" vertical="center" wrapText="1"/>
    </xf>
    <xf numFmtId="0" fontId="12" fillId="0" borderId="0" xfId="0" applyFont="1" applyAlignment="1">
      <alignment vertical="center"/>
    </xf>
    <xf numFmtId="0" fontId="13" fillId="0" borderId="0" xfId="0" applyFont="1" applyAlignment="1">
      <alignment vertical="center"/>
    </xf>
    <xf numFmtId="3" fontId="16" fillId="0" borderId="0" xfId="0" applyNumberFormat="1" applyFont="1" applyAlignment="1">
      <alignment vertical="center"/>
    </xf>
    <xf numFmtId="0" fontId="18" fillId="5" borderId="0" xfId="0" applyFont="1" applyFill="1" applyAlignment="1">
      <alignment vertical="center"/>
    </xf>
    <xf numFmtId="0" fontId="13" fillId="7" borderId="7" xfId="0" applyFont="1" applyFill="1" applyBorder="1" applyAlignment="1">
      <alignment horizontal="center" vertical="center" wrapText="1"/>
    </xf>
    <xf numFmtId="0" fontId="12" fillId="0" borderId="7" xfId="0" applyFont="1" applyBorder="1" applyAlignment="1">
      <alignment horizontal="center" vertical="center"/>
    </xf>
    <xf numFmtId="0" fontId="12" fillId="0" borderId="7" xfId="0" applyFont="1" applyBorder="1" applyAlignment="1">
      <alignment vertical="center" wrapText="1"/>
    </xf>
    <xf numFmtId="166" fontId="17" fillId="5" borderId="7" xfId="0" applyNumberFormat="1" applyFont="1" applyFill="1" applyBorder="1" applyAlignment="1">
      <alignment horizontal="center" vertical="center" wrapText="1"/>
    </xf>
    <xf numFmtId="9" fontId="17" fillId="5" borderId="7" xfId="0" applyNumberFormat="1" applyFont="1" applyFill="1" applyBorder="1" applyAlignment="1">
      <alignment horizontal="center" vertical="center"/>
    </xf>
    <xf numFmtId="3" fontId="12" fillId="0" borderId="7" xfId="0" applyNumberFormat="1" applyFont="1" applyBorder="1" applyAlignment="1">
      <alignment vertical="center"/>
    </xf>
    <xf numFmtId="9" fontId="19" fillId="7" borderId="7" xfId="0" applyNumberFormat="1" applyFont="1" applyFill="1" applyBorder="1" applyAlignment="1">
      <alignment vertical="center"/>
    </xf>
    <xf numFmtId="3" fontId="19" fillId="7" borderId="7" xfId="0" applyNumberFormat="1" applyFont="1" applyFill="1" applyBorder="1" applyAlignment="1">
      <alignment vertical="center"/>
    </xf>
    <xf numFmtId="0" fontId="19" fillId="7" borderId="7" xfId="0" applyFont="1" applyFill="1" applyBorder="1" applyAlignment="1">
      <alignment vertical="center"/>
    </xf>
    <xf numFmtId="166" fontId="12" fillId="0" borderId="7" xfId="0" applyNumberFormat="1" applyFont="1" applyBorder="1" applyAlignment="1">
      <alignment horizontal="center" vertical="center"/>
    </xf>
    <xf numFmtId="167" fontId="17" fillId="5" borderId="7" xfId="0" applyNumberFormat="1" applyFont="1" applyFill="1" applyBorder="1" applyAlignment="1">
      <alignment vertical="center"/>
    </xf>
    <xf numFmtId="167" fontId="12" fillId="0" borderId="7" xfId="0" applyNumberFormat="1" applyFont="1" applyBorder="1" applyAlignment="1">
      <alignment vertical="center"/>
    </xf>
    <xf numFmtId="167" fontId="19" fillId="7" borderId="7" xfId="0" applyNumberFormat="1" applyFont="1" applyFill="1" applyBorder="1" applyAlignment="1">
      <alignment vertical="center"/>
    </xf>
    <xf numFmtId="0" fontId="13" fillId="7" borderId="7" xfId="0" applyFont="1" applyFill="1" applyBorder="1" applyAlignment="1">
      <alignment horizontal="center" vertical="center"/>
    </xf>
    <xf numFmtId="167" fontId="15" fillId="0" borderId="7" xfId="0" applyNumberFormat="1" applyFont="1" applyBorder="1" applyAlignment="1">
      <alignment vertical="center"/>
    </xf>
    <xf numFmtId="0" fontId="12" fillId="0" borderId="0" xfId="0" applyFont="1" applyAlignment="1">
      <alignment vertical="center" wrapText="1"/>
    </xf>
    <xf numFmtId="0" fontId="0" fillId="0" borderId="0" xfId="0" applyAlignment="1">
      <alignment vertical="center"/>
    </xf>
    <xf numFmtId="0" fontId="4"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left" vertical="top" wrapText="1"/>
    </xf>
    <xf numFmtId="0" fontId="6" fillId="0" borderId="0" xfId="0" applyFont="1" applyAlignment="1">
      <alignment horizontal="left" vertical="center" wrapText="1"/>
    </xf>
    <xf numFmtId="0" fontId="5" fillId="2" borderId="1" xfId="0" applyFont="1" applyFill="1" applyBorder="1" applyAlignment="1">
      <alignment horizontal="center" vertical="center" wrapText="1"/>
    </xf>
    <xf numFmtId="0" fontId="11" fillId="0" borderId="0" xfId="0" applyFont="1" applyAlignment="1">
      <alignment horizontal="left" vertical="center" wrapText="1"/>
    </xf>
    <xf numFmtId="0" fontId="4" fillId="0" borderId="0" xfId="0" applyFont="1" applyAlignment="1">
      <alignment horizontal="center" vertical="center" wrapText="1"/>
    </xf>
    <xf numFmtId="0" fontId="3" fillId="0" borderId="0" xfId="0" applyFont="1" applyAlignment="1">
      <alignment horizontal="left" vertical="center" wrapText="1"/>
    </xf>
    <xf numFmtId="0" fontId="5" fillId="0" borderId="0" xfId="0" applyFont="1" applyAlignment="1">
      <alignment horizontal="left" vertical="center" wrapText="1"/>
    </xf>
    <xf numFmtId="0" fontId="6" fillId="0" borderId="0" xfId="0" applyFont="1" applyAlignment="1">
      <alignment horizontal="left" vertical="top" wrapText="1"/>
    </xf>
    <xf numFmtId="0" fontId="5" fillId="0" borderId="6" xfId="0" applyFont="1" applyBorder="1" applyAlignment="1">
      <alignment horizontal="left" vertical="center" wrapText="1"/>
    </xf>
    <xf numFmtId="0" fontId="10" fillId="0" borderId="0" xfId="0" applyFont="1" applyAlignment="1">
      <alignment horizontal="center" vertical="center" wrapText="1"/>
    </xf>
    <xf numFmtId="0" fontId="0" fillId="0" borderId="0" xfId="0" applyAlignment="1">
      <alignment vertical="center"/>
    </xf>
    <xf numFmtId="0" fontId="3" fillId="4" borderId="1" xfId="0" applyFont="1" applyFill="1" applyBorder="1" applyAlignment="1">
      <alignment horizontal="left" vertical="center" wrapText="1"/>
    </xf>
    <xf numFmtId="0" fontId="14" fillId="0" borderId="0" xfId="0" applyFont="1" applyAlignment="1">
      <alignment horizontal="center" vertical="center" wrapText="1"/>
    </xf>
    <xf numFmtId="0" fontId="12" fillId="0" borderId="0" xfId="0" applyFont="1" applyAlignment="1">
      <alignment horizontal="left" vertical="center" wrapText="1"/>
    </xf>
    <xf numFmtId="0" fontId="13" fillId="0" borderId="0" xfId="0" applyFont="1" applyAlignment="1">
      <alignment horizontal="left" vertical="center" wrapText="1"/>
    </xf>
    <xf numFmtId="0" fontId="12" fillId="0" borderId="7" xfId="0" applyFont="1" applyBorder="1" applyAlignment="1">
      <alignment horizontal="left" vertical="center" wrapText="1"/>
    </xf>
    <xf numFmtId="0" fontId="13" fillId="6" borderId="0" xfId="0" applyFont="1" applyFill="1" applyAlignment="1">
      <alignment horizontal="left" vertical="center" wrapText="1"/>
    </xf>
    <xf numFmtId="0" fontId="19" fillId="7" borderId="7" xfId="0" applyFont="1" applyFill="1" applyBorder="1" applyAlignment="1">
      <alignment horizontal="center" vertical="center" wrapText="1"/>
    </xf>
    <xf numFmtId="0" fontId="13" fillId="7" borderId="7" xfId="0" applyFont="1" applyFill="1" applyBorder="1" applyAlignment="1">
      <alignment horizontal="center" vertical="center" wrapText="1"/>
    </xf>
    <xf numFmtId="0" fontId="0" fillId="0" borderId="0" xfId="0" applyAlignment="1"/>
    <xf numFmtId="0" fontId="0" fillId="2" borderId="1" xfId="0" applyFill="1" applyBorder="1" applyAlignment="1"/>
    <xf numFmtId="0" fontId="0" fillId="0" borderId="3" xfId="0" applyBorder="1" applyAlignment="1"/>
    <xf numFmtId="0" fontId="0" fillId="0" borderId="2" xfId="0" applyBorder="1" applyAlignment="1"/>
    <xf numFmtId="0" fontId="0" fillId="0" borderId="4" xfId="0" applyBorder="1" applyAlignment="1"/>
    <xf numFmtId="0" fontId="0" fillId="0" borderId="5" xfId="0" applyBorder="1" applyAlignment="1"/>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64"/>
  <sheetViews>
    <sheetView showGridLines="0" tabSelected="1" workbookViewId="0">
      <pane xSplit="1" ySplit="6" topLeftCell="B12" activePane="bottomRight" state="frozen"/>
      <selection pane="bottomRight" activeCell="E5" sqref="E5:E6"/>
      <selection pane="bottomLeft"/>
      <selection pane="topRight"/>
    </sheetView>
  </sheetViews>
  <sheetFormatPr defaultRowHeight="14.45"/>
  <cols>
    <col min="1" max="1" width="5.42578125" customWidth="1"/>
    <col min="2" max="2" width="45" customWidth="1"/>
    <col min="3" max="3" width="36.42578125" customWidth="1"/>
    <col min="4" max="4" width="23.42578125" customWidth="1"/>
    <col min="5" max="5" width="14" customWidth="1"/>
    <col min="6" max="6" width="15.42578125" customWidth="1"/>
    <col min="7" max="7" width="18.42578125" customWidth="1"/>
    <col min="8" max="8" width="9.42578125" customWidth="1"/>
    <col min="9" max="9" width="13.42578125" customWidth="1"/>
    <col min="10" max="10" width="15" customWidth="1"/>
  </cols>
  <sheetData>
    <row r="1" spans="1:10" ht="30" customHeight="1">
      <c r="A1" s="51" t="s">
        <v>0</v>
      </c>
      <c r="B1" s="74"/>
      <c r="C1" s="74"/>
      <c r="D1" s="74"/>
      <c r="E1" s="74"/>
      <c r="F1" s="74"/>
      <c r="G1" s="74"/>
      <c r="H1" s="74"/>
      <c r="I1" s="74"/>
      <c r="J1" s="74"/>
    </row>
    <row r="2" spans="1:10" ht="24" customHeight="1">
      <c r="A2" s="52" t="s">
        <v>1</v>
      </c>
      <c r="B2" s="74"/>
      <c r="C2" s="74"/>
      <c r="D2" s="74"/>
      <c r="E2" s="74"/>
      <c r="F2" s="74"/>
      <c r="G2" s="74"/>
      <c r="H2" s="74"/>
      <c r="I2" s="74"/>
      <c r="J2" s="74"/>
    </row>
    <row r="3" spans="1:10" ht="24" customHeight="1">
      <c r="A3" s="52" t="s">
        <v>2</v>
      </c>
      <c r="B3" s="74"/>
      <c r="C3" s="74"/>
      <c r="D3" s="74"/>
      <c r="E3" s="74"/>
      <c r="F3" s="74"/>
      <c r="G3" s="74"/>
      <c r="H3" s="74"/>
      <c r="I3" s="74"/>
      <c r="J3" s="74"/>
    </row>
    <row r="5" spans="1:10" ht="19.899999999999999" customHeight="1">
      <c r="A5" s="48" t="s">
        <v>3</v>
      </c>
      <c r="B5" s="48" t="s">
        <v>4</v>
      </c>
      <c r="C5" s="48" t="s">
        <v>5</v>
      </c>
      <c r="D5" s="48" t="s">
        <v>6</v>
      </c>
      <c r="E5" s="48" t="s">
        <v>7</v>
      </c>
      <c r="F5" s="48" t="s">
        <v>8</v>
      </c>
      <c r="G5" s="75"/>
      <c r="H5" s="75"/>
      <c r="I5" s="75"/>
      <c r="J5" s="75"/>
    </row>
    <row r="6" spans="1:10" ht="31.9" customHeight="1">
      <c r="A6" s="75"/>
      <c r="B6" s="75"/>
      <c r="C6" s="75"/>
      <c r="D6" s="75"/>
      <c r="E6" s="75"/>
      <c r="F6" s="1" t="s">
        <v>9</v>
      </c>
      <c r="G6" s="1" t="s">
        <v>10</v>
      </c>
      <c r="H6" s="1" t="s">
        <v>11</v>
      </c>
      <c r="I6" s="1" t="s">
        <v>12</v>
      </c>
      <c r="J6" s="1" t="s">
        <v>13</v>
      </c>
    </row>
    <row r="7" spans="1:10">
      <c r="A7" s="47">
        <v>1</v>
      </c>
      <c r="B7" s="50" t="s">
        <v>14</v>
      </c>
      <c r="C7" s="49" t="s">
        <v>15</v>
      </c>
      <c r="D7" s="49" t="s">
        <v>16</v>
      </c>
      <c r="E7" s="47" t="s">
        <v>17</v>
      </c>
      <c r="F7" s="3" t="s">
        <v>18</v>
      </c>
      <c r="G7" s="4" t="s">
        <v>19</v>
      </c>
      <c r="H7" s="5">
        <v>6.7</v>
      </c>
      <c r="I7" s="6">
        <f>VLOOKUP(G7,CongLaoDong!$B$8:$G$12,5,0)</f>
        <v>1897500</v>
      </c>
      <c r="J7" s="6">
        <f t="shared" ref="J7:J38" si="0">H7*I7</f>
        <v>12713250</v>
      </c>
    </row>
    <row r="8" spans="1:10">
      <c r="A8" s="76"/>
      <c r="B8" s="76"/>
      <c r="C8" s="76"/>
      <c r="D8" s="76"/>
      <c r="E8" s="76"/>
      <c r="F8" s="3" t="s">
        <v>20</v>
      </c>
      <c r="G8" s="4" t="s">
        <v>21</v>
      </c>
      <c r="H8" s="5">
        <v>1.2</v>
      </c>
      <c r="I8" s="6">
        <f>VLOOKUP(G8,CongLaoDong!$B$8:$G$12,5,0)</f>
        <v>1391500</v>
      </c>
      <c r="J8" s="6">
        <f t="shared" si="0"/>
        <v>1669800</v>
      </c>
    </row>
    <row r="9" spans="1:10">
      <c r="A9" s="47">
        <v>2</v>
      </c>
      <c r="B9" s="50" t="s">
        <v>22</v>
      </c>
      <c r="C9" s="49" t="s">
        <v>23</v>
      </c>
      <c r="D9" s="49" t="s">
        <v>24</v>
      </c>
      <c r="E9" s="47" t="s">
        <v>25</v>
      </c>
      <c r="F9" s="3" t="s">
        <v>18</v>
      </c>
      <c r="G9" s="4" t="s">
        <v>19</v>
      </c>
      <c r="H9" s="5">
        <v>19.2</v>
      </c>
      <c r="I9" s="6">
        <f>VLOOKUP(G9,CongLaoDong!$B$8:$G$12,5,0)</f>
        <v>1897500</v>
      </c>
      <c r="J9" s="6">
        <f t="shared" si="0"/>
        <v>36432000</v>
      </c>
    </row>
    <row r="10" spans="1:10">
      <c r="A10" s="77"/>
      <c r="B10" s="77"/>
      <c r="C10" s="77"/>
      <c r="D10" s="77"/>
      <c r="E10" s="77"/>
      <c r="F10" s="3" t="s">
        <v>20</v>
      </c>
      <c r="G10" s="4" t="s">
        <v>26</v>
      </c>
      <c r="H10" s="5">
        <v>1.6</v>
      </c>
      <c r="I10" s="6">
        <f>VLOOKUP(G10,CongLaoDong!$B$8:$G$12,5,0)</f>
        <v>1391500</v>
      </c>
      <c r="J10" s="6">
        <f t="shared" si="0"/>
        <v>2226400</v>
      </c>
    </row>
    <row r="11" spans="1:10">
      <c r="A11" s="76"/>
      <c r="B11" s="76"/>
      <c r="C11" s="76"/>
      <c r="D11" s="76"/>
      <c r="E11" s="76"/>
      <c r="F11" s="3" t="s">
        <v>20</v>
      </c>
      <c r="G11" s="4" t="s">
        <v>21</v>
      </c>
      <c r="H11" s="5">
        <v>2.1</v>
      </c>
      <c r="I11" s="6">
        <f>VLOOKUP(G11,CongLaoDong!$B$8:$G$12,5,0)</f>
        <v>1391500</v>
      </c>
      <c r="J11" s="6">
        <f t="shared" si="0"/>
        <v>2922150</v>
      </c>
    </row>
    <row r="12" spans="1:10">
      <c r="A12" s="47">
        <v>3</v>
      </c>
      <c r="B12" s="50" t="s">
        <v>27</v>
      </c>
      <c r="C12" s="49" t="s">
        <v>28</v>
      </c>
      <c r="D12" s="49" t="s">
        <v>29</v>
      </c>
      <c r="E12" s="47" t="s">
        <v>25</v>
      </c>
      <c r="F12" s="3" t="s">
        <v>18</v>
      </c>
      <c r="G12" s="4" t="s">
        <v>19</v>
      </c>
      <c r="H12" s="5">
        <v>4.2</v>
      </c>
      <c r="I12" s="6">
        <f>VLOOKUP(G12,CongLaoDong!$B$8:$G$12,5,0)</f>
        <v>1897500</v>
      </c>
      <c r="J12" s="6">
        <f t="shared" si="0"/>
        <v>7969500</v>
      </c>
    </row>
    <row r="13" spans="1:10">
      <c r="A13" s="76"/>
      <c r="B13" s="76"/>
      <c r="C13" s="76"/>
      <c r="D13" s="76"/>
      <c r="E13" s="76"/>
      <c r="F13" s="3" t="s">
        <v>30</v>
      </c>
      <c r="G13" s="4" t="s">
        <v>31</v>
      </c>
      <c r="H13" s="5">
        <v>0.6</v>
      </c>
      <c r="I13" s="6">
        <f>VLOOKUP(G13,CongLaoDong!$B$8:$G$12,5,0)</f>
        <v>1518000</v>
      </c>
      <c r="J13" s="6">
        <f t="shared" si="0"/>
        <v>910800</v>
      </c>
    </row>
    <row r="14" spans="1:10">
      <c r="A14" s="47">
        <v>4</v>
      </c>
      <c r="B14" s="50" t="s">
        <v>32</v>
      </c>
      <c r="C14" s="49" t="s">
        <v>33</v>
      </c>
      <c r="D14" s="49" t="s">
        <v>34</v>
      </c>
      <c r="E14" s="47" t="s">
        <v>25</v>
      </c>
      <c r="F14" s="3" t="s">
        <v>30</v>
      </c>
      <c r="G14" s="4" t="s">
        <v>31</v>
      </c>
      <c r="H14" s="5">
        <v>2.2000000000000002</v>
      </c>
      <c r="I14" s="6">
        <f>VLOOKUP(G14,CongLaoDong!$B$8:$G$12,5,0)</f>
        <v>1518000</v>
      </c>
      <c r="J14" s="6">
        <f t="shared" si="0"/>
        <v>3339600.0000000005</v>
      </c>
    </row>
    <row r="15" spans="1:10">
      <c r="A15" s="77"/>
      <c r="B15" s="77"/>
      <c r="C15" s="77"/>
      <c r="D15" s="77"/>
      <c r="E15" s="77"/>
      <c r="F15" s="3" t="s">
        <v>20</v>
      </c>
      <c r="G15" s="4" t="s">
        <v>26</v>
      </c>
      <c r="H15" s="5">
        <v>2.2000000000000002</v>
      </c>
      <c r="I15" s="6">
        <f>VLOOKUP(G15,CongLaoDong!$B$8:$G$12,5,0)</f>
        <v>1391500</v>
      </c>
      <c r="J15" s="6">
        <f t="shared" si="0"/>
        <v>3061300.0000000005</v>
      </c>
    </row>
    <row r="16" spans="1:10">
      <c r="A16" s="76"/>
      <c r="B16" s="76"/>
      <c r="C16" s="76"/>
      <c r="D16" s="76"/>
      <c r="E16" s="76"/>
      <c r="F16" s="3" t="s">
        <v>20</v>
      </c>
      <c r="G16" s="4" t="s">
        <v>21</v>
      </c>
      <c r="H16" s="5">
        <v>2.2000000000000002</v>
      </c>
      <c r="I16" s="6">
        <f>VLOOKUP(G16,CongLaoDong!$B$8:$G$12,5,0)</f>
        <v>1391500</v>
      </c>
      <c r="J16" s="6">
        <f t="shared" si="0"/>
        <v>3061300.0000000005</v>
      </c>
    </row>
    <row r="17" spans="1:10">
      <c r="A17" s="47">
        <v>5</v>
      </c>
      <c r="B17" s="50" t="s">
        <v>35</v>
      </c>
      <c r="C17" s="49" t="s">
        <v>36</v>
      </c>
      <c r="D17" s="49" t="s">
        <v>37</v>
      </c>
      <c r="E17" s="47" t="s">
        <v>38</v>
      </c>
      <c r="F17" s="3" t="s">
        <v>18</v>
      </c>
      <c r="G17" s="4" t="s">
        <v>19</v>
      </c>
      <c r="H17" s="5">
        <v>2.6</v>
      </c>
      <c r="I17" s="6">
        <f>VLOOKUP(G17,CongLaoDong!$B$8:$G$12,5,0)</f>
        <v>1897500</v>
      </c>
      <c r="J17" s="6">
        <f t="shared" si="0"/>
        <v>4933500</v>
      </c>
    </row>
    <row r="18" spans="1:10">
      <c r="A18" s="77"/>
      <c r="B18" s="77"/>
      <c r="C18" s="77"/>
      <c r="D18" s="77"/>
      <c r="E18" s="77"/>
      <c r="F18" s="3" t="s">
        <v>30</v>
      </c>
      <c r="G18" s="4" t="s">
        <v>39</v>
      </c>
      <c r="H18" s="5">
        <v>4.4000000000000004</v>
      </c>
      <c r="I18" s="6">
        <f>VLOOKUP(G18,CongLaoDong!$B$8:$G$12,5,0)</f>
        <v>1518000</v>
      </c>
      <c r="J18" s="6">
        <f t="shared" si="0"/>
        <v>6679200.0000000009</v>
      </c>
    </row>
    <row r="19" spans="1:10">
      <c r="A19" s="76"/>
      <c r="B19" s="76"/>
      <c r="C19" s="76"/>
      <c r="D19" s="76"/>
      <c r="E19" s="76"/>
      <c r="F19" s="3" t="s">
        <v>30</v>
      </c>
      <c r="G19" s="4" t="s">
        <v>31</v>
      </c>
      <c r="H19" s="5">
        <v>7.9</v>
      </c>
      <c r="I19" s="6">
        <f>VLOOKUP(G19,CongLaoDong!$B$8:$G$12,5,0)</f>
        <v>1518000</v>
      </c>
      <c r="J19" s="6">
        <f t="shared" si="0"/>
        <v>11992200</v>
      </c>
    </row>
    <row r="20" spans="1:10">
      <c r="A20" s="47">
        <v>6</v>
      </c>
      <c r="B20" s="50" t="s">
        <v>40</v>
      </c>
      <c r="C20" s="49" t="s">
        <v>41</v>
      </c>
      <c r="D20" s="49" t="s">
        <v>42</v>
      </c>
      <c r="E20" s="47" t="s">
        <v>38</v>
      </c>
      <c r="F20" s="3" t="s">
        <v>20</v>
      </c>
      <c r="G20" s="4" t="s">
        <v>26</v>
      </c>
      <c r="H20" s="5">
        <v>5.7</v>
      </c>
      <c r="I20" s="6">
        <f>VLOOKUP(G20,CongLaoDong!$B$8:$G$12,5,0)</f>
        <v>1391500</v>
      </c>
      <c r="J20" s="6">
        <f t="shared" si="0"/>
        <v>7931550</v>
      </c>
    </row>
    <row r="21" spans="1:10">
      <c r="A21" s="76"/>
      <c r="B21" s="76"/>
      <c r="C21" s="76"/>
      <c r="D21" s="76"/>
      <c r="E21" s="76"/>
      <c r="F21" s="3" t="s">
        <v>20</v>
      </c>
      <c r="G21" s="4" t="s">
        <v>21</v>
      </c>
      <c r="H21" s="5">
        <v>14.2</v>
      </c>
      <c r="I21" s="6">
        <f>VLOOKUP(G21,CongLaoDong!$B$8:$G$12,5,0)</f>
        <v>1391500</v>
      </c>
      <c r="J21" s="6">
        <f t="shared" si="0"/>
        <v>19759300</v>
      </c>
    </row>
    <row r="22" spans="1:10">
      <c r="A22" s="47">
        <v>7</v>
      </c>
      <c r="B22" s="50" t="s">
        <v>43</v>
      </c>
      <c r="C22" s="49" t="s">
        <v>44</v>
      </c>
      <c r="D22" s="49" t="s">
        <v>45</v>
      </c>
      <c r="E22" s="47" t="s">
        <v>38</v>
      </c>
      <c r="F22" s="3" t="s">
        <v>18</v>
      </c>
      <c r="G22" s="4" t="s">
        <v>19</v>
      </c>
      <c r="H22" s="5">
        <v>1.1000000000000001</v>
      </c>
      <c r="I22" s="6">
        <f>VLOOKUP(G22,CongLaoDong!$B$8:$G$12,5,0)</f>
        <v>1897500</v>
      </c>
      <c r="J22" s="6">
        <f t="shared" si="0"/>
        <v>2087250.0000000002</v>
      </c>
    </row>
    <row r="23" spans="1:10">
      <c r="A23" s="77"/>
      <c r="B23" s="77"/>
      <c r="C23" s="77"/>
      <c r="D23" s="77"/>
      <c r="E23" s="77"/>
      <c r="F23" s="3" t="s">
        <v>20</v>
      </c>
      <c r="G23" s="4" t="s">
        <v>26</v>
      </c>
      <c r="H23" s="5">
        <v>18.8</v>
      </c>
      <c r="I23" s="6">
        <f>VLOOKUP(G23,CongLaoDong!$B$8:$G$12,5,0)</f>
        <v>1391500</v>
      </c>
      <c r="J23" s="6">
        <f t="shared" si="0"/>
        <v>26160200</v>
      </c>
    </row>
    <row r="24" spans="1:10">
      <c r="A24" s="76"/>
      <c r="B24" s="76"/>
      <c r="C24" s="76"/>
      <c r="D24" s="76"/>
      <c r="E24" s="76"/>
      <c r="F24" s="3" t="s">
        <v>20</v>
      </c>
      <c r="G24" s="4" t="s">
        <v>21</v>
      </c>
      <c r="H24" s="5">
        <v>1.2</v>
      </c>
      <c r="I24" s="6">
        <f>VLOOKUP(G24,CongLaoDong!$B$8:$G$12,5,0)</f>
        <v>1391500</v>
      </c>
      <c r="J24" s="6">
        <f t="shared" si="0"/>
        <v>1669800</v>
      </c>
    </row>
    <row r="25" spans="1:10">
      <c r="A25" s="47">
        <v>8</v>
      </c>
      <c r="B25" s="50" t="s">
        <v>46</v>
      </c>
      <c r="C25" s="49" t="s">
        <v>47</v>
      </c>
      <c r="D25" s="49" t="s">
        <v>48</v>
      </c>
      <c r="E25" s="47" t="s">
        <v>38</v>
      </c>
      <c r="F25" s="3" t="s">
        <v>18</v>
      </c>
      <c r="G25" s="4" t="s">
        <v>19</v>
      </c>
      <c r="H25" s="5">
        <v>1.2</v>
      </c>
      <c r="I25" s="6">
        <f>VLOOKUP(G25,CongLaoDong!$B$8:$G$12,5,0)</f>
        <v>1897500</v>
      </c>
      <c r="J25" s="6">
        <f t="shared" si="0"/>
        <v>2277000</v>
      </c>
    </row>
    <row r="26" spans="1:10">
      <c r="A26" s="77"/>
      <c r="B26" s="77"/>
      <c r="C26" s="77"/>
      <c r="D26" s="77"/>
      <c r="E26" s="77"/>
      <c r="F26" s="3" t="s">
        <v>30</v>
      </c>
      <c r="G26" s="4" t="s">
        <v>39</v>
      </c>
      <c r="H26" s="5">
        <v>15.5</v>
      </c>
      <c r="I26" s="6">
        <f>VLOOKUP(G26,CongLaoDong!$B$8:$G$12,5,0)</f>
        <v>1518000</v>
      </c>
      <c r="J26" s="6">
        <f t="shared" si="0"/>
        <v>23529000</v>
      </c>
    </row>
    <row r="27" spans="1:10">
      <c r="A27" s="77"/>
      <c r="B27" s="77"/>
      <c r="C27" s="77"/>
      <c r="D27" s="77"/>
      <c r="E27" s="77"/>
      <c r="F27" s="3" t="s">
        <v>30</v>
      </c>
      <c r="G27" s="4" t="s">
        <v>31</v>
      </c>
      <c r="H27" s="5">
        <v>6.2</v>
      </c>
      <c r="I27" s="6">
        <f>VLOOKUP(G27,CongLaoDong!$B$8:$G$12,5,0)</f>
        <v>1518000</v>
      </c>
      <c r="J27" s="6">
        <f t="shared" si="0"/>
        <v>9411600</v>
      </c>
    </row>
    <row r="28" spans="1:10">
      <c r="A28" s="77"/>
      <c r="B28" s="77"/>
      <c r="C28" s="77"/>
      <c r="D28" s="77"/>
      <c r="E28" s="77"/>
      <c r="F28" s="3" t="s">
        <v>20</v>
      </c>
      <c r="G28" s="4" t="s">
        <v>26</v>
      </c>
      <c r="H28" s="5">
        <v>3</v>
      </c>
      <c r="I28" s="6">
        <f>VLOOKUP(G28,CongLaoDong!$B$8:$G$12,5,0)</f>
        <v>1391500</v>
      </c>
      <c r="J28" s="6">
        <f t="shared" si="0"/>
        <v>4174500</v>
      </c>
    </row>
    <row r="29" spans="1:10">
      <c r="A29" s="76"/>
      <c r="B29" s="76"/>
      <c r="C29" s="76"/>
      <c r="D29" s="76"/>
      <c r="E29" s="76"/>
      <c r="F29" s="3" t="s">
        <v>20</v>
      </c>
      <c r="G29" s="4" t="s">
        <v>21</v>
      </c>
      <c r="H29" s="5">
        <v>10.7</v>
      </c>
      <c r="I29" s="6">
        <f>VLOOKUP(G29,CongLaoDong!$B$8:$G$12,5,0)</f>
        <v>1391500</v>
      </c>
      <c r="J29" s="6">
        <f t="shared" si="0"/>
        <v>14889049.999999998</v>
      </c>
    </row>
    <row r="30" spans="1:10">
      <c r="A30" s="47">
        <v>9</v>
      </c>
      <c r="B30" s="50" t="s">
        <v>49</v>
      </c>
      <c r="C30" s="49" t="s">
        <v>50</v>
      </c>
      <c r="D30" s="49" t="s">
        <v>51</v>
      </c>
      <c r="E30" s="47" t="s">
        <v>38</v>
      </c>
      <c r="F30" s="3" t="s">
        <v>18</v>
      </c>
      <c r="G30" s="4" t="s">
        <v>19</v>
      </c>
      <c r="H30" s="5">
        <v>1</v>
      </c>
      <c r="I30" s="6">
        <f>VLOOKUP(G30,CongLaoDong!$B$8:$G$12,5,0)</f>
        <v>1897500</v>
      </c>
      <c r="J30" s="6">
        <f t="shared" si="0"/>
        <v>1897500</v>
      </c>
    </row>
    <row r="31" spans="1:10">
      <c r="A31" s="77"/>
      <c r="B31" s="77"/>
      <c r="C31" s="77"/>
      <c r="D31" s="77"/>
      <c r="E31" s="77"/>
      <c r="F31" s="3" t="s">
        <v>30</v>
      </c>
      <c r="G31" s="4" t="s">
        <v>39</v>
      </c>
      <c r="H31" s="5">
        <v>22.8</v>
      </c>
      <c r="I31" s="6">
        <f>VLOOKUP(G31,CongLaoDong!$B$8:$G$12,5,0)</f>
        <v>1518000</v>
      </c>
      <c r="J31" s="6">
        <f t="shared" si="0"/>
        <v>34610400</v>
      </c>
    </row>
    <row r="32" spans="1:10">
      <c r="A32" s="77"/>
      <c r="B32" s="77"/>
      <c r="C32" s="77"/>
      <c r="D32" s="77"/>
      <c r="E32" s="77"/>
      <c r="F32" s="3" t="s">
        <v>30</v>
      </c>
      <c r="G32" s="4" t="s">
        <v>31</v>
      </c>
      <c r="H32" s="5">
        <v>24.8</v>
      </c>
      <c r="I32" s="6">
        <f>VLOOKUP(G32,CongLaoDong!$B$8:$G$12,5,0)</f>
        <v>1518000</v>
      </c>
      <c r="J32" s="6">
        <f t="shared" si="0"/>
        <v>37646400</v>
      </c>
    </row>
    <row r="33" spans="1:10">
      <c r="A33" s="77"/>
      <c r="B33" s="77"/>
      <c r="C33" s="77"/>
      <c r="D33" s="77"/>
      <c r="E33" s="77"/>
      <c r="F33" s="3" t="s">
        <v>20</v>
      </c>
      <c r="G33" s="4" t="s">
        <v>26</v>
      </c>
      <c r="H33" s="5">
        <v>8.6</v>
      </c>
      <c r="I33" s="6">
        <f>VLOOKUP(G33,CongLaoDong!$B$8:$G$12,5,0)</f>
        <v>1391500</v>
      </c>
      <c r="J33" s="6">
        <f t="shared" si="0"/>
        <v>11966900</v>
      </c>
    </row>
    <row r="34" spans="1:10">
      <c r="A34" s="76"/>
      <c r="B34" s="76"/>
      <c r="C34" s="76"/>
      <c r="D34" s="76"/>
      <c r="E34" s="76"/>
      <c r="F34" s="3" t="s">
        <v>20</v>
      </c>
      <c r="G34" s="4" t="s">
        <v>21</v>
      </c>
      <c r="H34" s="5">
        <v>3.2</v>
      </c>
      <c r="I34" s="6">
        <f>VLOOKUP(G34,CongLaoDong!$B$8:$G$12,5,0)</f>
        <v>1391500</v>
      </c>
      <c r="J34" s="6">
        <f t="shared" si="0"/>
        <v>4452800</v>
      </c>
    </row>
    <row r="35" spans="1:10">
      <c r="A35" s="47">
        <v>10</v>
      </c>
      <c r="B35" s="50" t="s">
        <v>52</v>
      </c>
      <c r="C35" s="49" t="s">
        <v>53</v>
      </c>
      <c r="D35" s="49" t="s">
        <v>54</v>
      </c>
      <c r="E35" s="47" t="s">
        <v>38</v>
      </c>
      <c r="F35" s="3" t="s">
        <v>30</v>
      </c>
      <c r="G35" s="4" t="s">
        <v>39</v>
      </c>
      <c r="H35" s="5">
        <v>3.5</v>
      </c>
      <c r="I35" s="6">
        <f>VLOOKUP(G35,CongLaoDong!$B$8:$G$12,5,0)</f>
        <v>1518000</v>
      </c>
      <c r="J35" s="6">
        <f t="shared" si="0"/>
        <v>5313000</v>
      </c>
    </row>
    <row r="36" spans="1:10">
      <c r="A36" s="77"/>
      <c r="B36" s="77"/>
      <c r="C36" s="77"/>
      <c r="D36" s="77"/>
      <c r="E36" s="77"/>
      <c r="F36" s="3" t="s">
        <v>30</v>
      </c>
      <c r="G36" s="4" t="s">
        <v>31</v>
      </c>
      <c r="H36" s="5">
        <v>7.9</v>
      </c>
      <c r="I36" s="6">
        <f>VLOOKUP(G36,CongLaoDong!$B$8:$G$12,5,0)</f>
        <v>1518000</v>
      </c>
      <c r="J36" s="6">
        <f t="shared" si="0"/>
        <v>11992200</v>
      </c>
    </row>
    <row r="37" spans="1:10">
      <c r="A37" s="76"/>
      <c r="B37" s="76"/>
      <c r="C37" s="76"/>
      <c r="D37" s="76"/>
      <c r="E37" s="76"/>
      <c r="F37" s="3" t="s">
        <v>20</v>
      </c>
      <c r="G37" s="4" t="s">
        <v>26</v>
      </c>
      <c r="H37" s="5">
        <v>5.0999999999999996</v>
      </c>
      <c r="I37" s="6">
        <f>VLOOKUP(G37,CongLaoDong!$B$8:$G$12,5,0)</f>
        <v>1391500</v>
      </c>
      <c r="J37" s="6">
        <f t="shared" si="0"/>
        <v>7096649.9999999991</v>
      </c>
    </row>
    <row r="38" spans="1:10">
      <c r="A38" s="47">
        <v>11</v>
      </c>
      <c r="B38" s="50" t="s">
        <v>55</v>
      </c>
      <c r="C38" s="49" t="s">
        <v>56</v>
      </c>
      <c r="D38" s="49" t="s">
        <v>57</v>
      </c>
      <c r="E38" s="47" t="s">
        <v>38</v>
      </c>
      <c r="F38" s="3" t="s">
        <v>18</v>
      </c>
      <c r="G38" s="4" t="s">
        <v>19</v>
      </c>
      <c r="H38" s="5">
        <v>1</v>
      </c>
      <c r="I38" s="6">
        <f>VLOOKUP(G38,CongLaoDong!$B$8:$G$12,5,0)</f>
        <v>1897500</v>
      </c>
      <c r="J38" s="6">
        <f t="shared" si="0"/>
        <v>1897500</v>
      </c>
    </row>
    <row r="39" spans="1:10">
      <c r="A39" s="77"/>
      <c r="B39" s="77"/>
      <c r="C39" s="77"/>
      <c r="D39" s="77"/>
      <c r="E39" s="77"/>
      <c r="F39" s="3" t="s">
        <v>30</v>
      </c>
      <c r="G39" s="4" t="s">
        <v>39</v>
      </c>
      <c r="H39" s="5">
        <v>3.5</v>
      </c>
      <c r="I39" s="6">
        <f>VLOOKUP(G39,CongLaoDong!$B$8:$G$12,5,0)</f>
        <v>1518000</v>
      </c>
      <c r="J39" s="6">
        <f t="shared" ref="J39:J63" si="1">H39*I39</f>
        <v>5313000</v>
      </c>
    </row>
    <row r="40" spans="1:10">
      <c r="A40" s="77"/>
      <c r="B40" s="77"/>
      <c r="C40" s="77"/>
      <c r="D40" s="77"/>
      <c r="E40" s="77"/>
      <c r="F40" s="3" t="s">
        <v>20</v>
      </c>
      <c r="G40" s="4" t="s">
        <v>26</v>
      </c>
      <c r="H40" s="5">
        <v>1.1000000000000001</v>
      </c>
      <c r="I40" s="6">
        <f>VLOOKUP(G40,CongLaoDong!$B$8:$G$12,5,0)</f>
        <v>1391500</v>
      </c>
      <c r="J40" s="6">
        <f t="shared" si="1"/>
        <v>1530650.0000000002</v>
      </c>
    </row>
    <row r="41" spans="1:10">
      <c r="A41" s="76"/>
      <c r="B41" s="76"/>
      <c r="C41" s="76"/>
      <c r="D41" s="76"/>
      <c r="E41" s="76"/>
      <c r="F41" s="3" t="s">
        <v>20</v>
      </c>
      <c r="G41" s="4" t="s">
        <v>21</v>
      </c>
      <c r="H41" s="5">
        <v>6.7</v>
      </c>
      <c r="I41" s="6">
        <f>VLOOKUP(G41,CongLaoDong!$B$8:$G$12,5,0)</f>
        <v>1391500</v>
      </c>
      <c r="J41" s="6">
        <f t="shared" si="1"/>
        <v>9323050</v>
      </c>
    </row>
    <row r="42" spans="1:10">
      <c r="A42" s="47">
        <v>12</v>
      </c>
      <c r="B42" s="50" t="s">
        <v>58</v>
      </c>
      <c r="C42" s="49" t="s">
        <v>59</v>
      </c>
      <c r="D42" s="49" t="s">
        <v>60</v>
      </c>
      <c r="E42" s="47" t="s">
        <v>38</v>
      </c>
      <c r="F42" s="3" t="s">
        <v>30</v>
      </c>
      <c r="G42" s="4" t="s">
        <v>39</v>
      </c>
      <c r="H42" s="5">
        <v>3.5</v>
      </c>
      <c r="I42" s="6">
        <f>VLOOKUP(G42,CongLaoDong!$B$8:$G$12,5,0)</f>
        <v>1518000</v>
      </c>
      <c r="J42" s="6">
        <f t="shared" si="1"/>
        <v>5313000</v>
      </c>
    </row>
    <row r="43" spans="1:10">
      <c r="A43" s="76"/>
      <c r="B43" s="76"/>
      <c r="C43" s="76"/>
      <c r="D43" s="76"/>
      <c r="E43" s="76"/>
      <c r="F43" s="3" t="s">
        <v>20</v>
      </c>
      <c r="G43" s="4" t="s">
        <v>26</v>
      </c>
      <c r="H43" s="5">
        <v>6.1</v>
      </c>
      <c r="I43" s="6">
        <f>VLOOKUP(G43,CongLaoDong!$B$8:$G$12,5,0)</f>
        <v>1391500</v>
      </c>
      <c r="J43" s="6">
        <f t="shared" si="1"/>
        <v>8488150</v>
      </c>
    </row>
    <row r="44" spans="1:10">
      <c r="A44" s="47">
        <v>13</v>
      </c>
      <c r="B44" s="50" t="s">
        <v>61</v>
      </c>
      <c r="C44" s="49" t="s">
        <v>62</v>
      </c>
      <c r="D44" s="49" t="s">
        <v>63</v>
      </c>
      <c r="E44" s="47" t="s">
        <v>38</v>
      </c>
      <c r="F44" s="3" t="s">
        <v>20</v>
      </c>
      <c r="G44" s="4" t="s">
        <v>26</v>
      </c>
      <c r="H44" s="5">
        <v>2.4</v>
      </c>
      <c r="I44" s="6">
        <f>VLOOKUP(G44,CongLaoDong!$B$8:$G$12,5,0)</f>
        <v>1391500</v>
      </c>
      <c r="J44" s="6">
        <f t="shared" si="1"/>
        <v>3339600</v>
      </c>
    </row>
    <row r="45" spans="1:10">
      <c r="A45" s="76"/>
      <c r="B45" s="76"/>
      <c r="C45" s="76"/>
      <c r="D45" s="76"/>
      <c r="E45" s="76"/>
      <c r="F45" s="3" t="s">
        <v>20</v>
      </c>
      <c r="G45" s="4" t="s">
        <v>21</v>
      </c>
      <c r="H45" s="5">
        <v>9.1999999999999993</v>
      </c>
      <c r="I45" s="6">
        <f>VLOOKUP(G45,CongLaoDong!$B$8:$G$12,5,0)</f>
        <v>1391500</v>
      </c>
      <c r="J45" s="6">
        <f t="shared" si="1"/>
        <v>12801799.999999998</v>
      </c>
    </row>
    <row r="46" spans="1:10">
      <c r="A46" s="47">
        <v>14</v>
      </c>
      <c r="B46" s="50" t="s">
        <v>64</v>
      </c>
      <c r="C46" s="49" t="s">
        <v>65</v>
      </c>
      <c r="D46" s="49" t="s">
        <v>66</v>
      </c>
      <c r="E46" s="47" t="s">
        <v>38</v>
      </c>
      <c r="F46" s="3" t="s">
        <v>18</v>
      </c>
      <c r="G46" s="4" t="s">
        <v>19</v>
      </c>
      <c r="H46" s="5">
        <v>2.2000000000000002</v>
      </c>
      <c r="I46" s="6">
        <f>VLOOKUP(G46,CongLaoDong!$B$8:$G$12,5,0)</f>
        <v>1897500</v>
      </c>
      <c r="J46" s="6">
        <f t="shared" si="1"/>
        <v>4174500.0000000005</v>
      </c>
    </row>
    <row r="47" spans="1:10">
      <c r="A47" s="77"/>
      <c r="B47" s="77"/>
      <c r="C47" s="77"/>
      <c r="D47" s="77"/>
      <c r="E47" s="77"/>
      <c r="F47" s="3" t="s">
        <v>30</v>
      </c>
      <c r="G47" s="4" t="s">
        <v>39</v>
      </c>
      <c r="H47" s="5">
        <v>3.6</v>
      </c>
      <c r="I47" s="6">
        <f>VLOOKUP(G47,CongLaoDong!$B$8:$G$12,5,0)</f>
        <v>1518000</v>
      </c>
      <c r="J47" s="6">
        <f t="shared" si="1"/>
        <v>5464800</v>
      </c>
    </row>
    <row r="48" spans="1:10">
      <c r="A48" s="77"/>
      <c r="B48" s="77"/>
      <c r="C48" s="77"/>
      <c r="D48" s="77"/>
      <c r="E48" s="77"/>
      <c r="F48" s="3" t="s">
        <v>30</v>
      </c>
      <c r="G48" s="4" t="s">
        <v>31</v>
      </c>
      <c r="H48" s="5">
        <v>7.9</v>
      </c>
      <c r="I48" s="6">
        <f>VLOOKUP(G48,CongLaoDong!$B$8:$G$12,5,0)</f>
        <v>1518000</v>
      </c>
      <c r="J48" s="6">
        <f t="shared" si="1"/>
        <v>11992200</v>
      </c>
    </row>
    <row r="49" spans="1:10">
      <c r="A49" s="76"/>
      <c r="B49" s="76"/>
      <c r="C49" s="76"/>
      <c r="D49" s="76"/>
      <c r="E49" s="76"/>
      <c r="F49" s="3" t="s">
        <v>20</v>
      </c>
      <c r="G49" s="4" t="s">
        <v>21</v>
      </c>
      <c r="H49" s="5">
        <v>2.6</v>
      </c>
      <c r="I49" s="6">
        <f>VLOOKUP(G49,CongLaoDong!$B$8:$G$12,5,0)</f>
        <v>1391500</v>
      </c>
      <c r="J49" s="6">
        <f t="shared" si="1"/>
        <v>3617900</v>
      </c>
    </row>
    <row r="50" spans="1:10">
      <c r="A50" s="47">
        <v>15</v>
      </c>
      <c r="B50" s="50" t="s">
        <v>67</v>
      </c>
      <c r="C50" s="49" t="s">
        <v>68</v>
      </c>
      <c r="D50" s="49" t="s">
        <v>69</v>
      </c>
      <c r="E50" s="47" t="s">
        <v>70</v>
      </c>
      <c r="F50" s="3" t="s">
        <v>18</v>
      </c>
      <c r="G50" s="4" t="s">
        <v>19</v>
      </c>
      <c r="H50" s="5">
        <v>3.8</v>
      </c>
      <c r="I50" s="6">
        <f>VLOOKUP(G50,CongLaoDong!$B$8:$G$12,5,0)</f>
        <v>1897500</v>
      </c>
      <c r="J50" s="6">
        <f t="shared" si="1"/>
        <v>7210500</v>
      </c>
    </row>
    <row r="51" spans="1:10">
      <c r="A51" s="76"/>
      <c r="B51" s="76"/>
      <c r="C51" s="76"/>
      <c r="D51" s="76"/>
      <c r="E51" s="76"/>
      <c r="F51" s="3" t="s">
        <v>30</v>
      </c>
      <c r="G51" s="4" t="s">
        <v>39</v>
      </c>
      <c r="H51" s="5">
        <v>1</v>
      </c>
      <c r="I51" s="6">
        <f>VLOOKUP(G51,CongLaoDong!$B$8:$G$12,5,0)</f>
        <v>1518000</v>
      </c>
      <c r="J51" s="6">
        <f t="shared" si="1"/>
        <v>1518000</v>
      </c>
    </row>
    <row r="52" spans="1:10">
      <c r="A52" s="47">
        <v>16</v>
      </c>
      <c r="B52" s="50" t="s">
        <v>71</v>
      </c>
      <c r="C52" s="49" t="s">
        <v>72</v>
      </c>
      <c r="D52" s="49" t="s">
        <v>73</v>
      </c>
      <c r="E52" s="47" t="s">
        <v>70</v>
      </c>
      <c r="F52" s="3" t="s">
        <v>18</v>
      </c>
      <c r="G52" s="4" t="s">
        <v>19</v>
      </c>
      <c r="H52" s="5">
        <v>2</v>
      </c>
      <c r="I52" s="6">
        <f>VLOOKUP(G52,CongLaoDong!$B$8:$G$12,5,0)</f>
        <v>1897500</v>
      </c>
      <c r="J52" s="6">
        <f t="shared" si="1"/>
        <v>3795000</v>
      </c>
    </row>
    <row r="53" spans="1:10">
      <c r="A53" s="76"/>
      <c r="B53" s="76"/>
      <c r="C53" s="76"/>
      <c r="D53" s="76"/>
      <c r="E53" s="76"/>
      <c r="F53" s="3" t="s">
        <v>20</v>
      </c>
      <c r="G53" s="4" t="s">
        <v>26</v>
      </c>
      <c r="H53" s="5">
        <v>0.9</v>
      </c>
      <c r="I53" s="6">
        <f>VLOOKUP(G53,CongLaoDong!$B$8:$G$12,5,0)</f>
        <v>1391500</v>
      </c>
      <c r="J53" s="6">
        <f t="shared" si="1"/>
        <v>1252350</v>
      </c>
    </row>
    <row r="54" spans="1:10">
      <c r="A54" s="47">
        <v>17</v>
      </c>
      <c r="B54" s="50" t="s">
        <v>74</v>
      </c>
      <c r="C54" s="49" t="s">
        <v>75</v>
      </c>
      <c r="D54" s="49" t="s">
        <v>76</v>
      </c>
      <c r="E54" s="47" t="s">
        <v>70</v>
      </c>
      <c r="F54" s="3" t="s">
        <v>18</v>
      </c>
      <c r="G54" s="4" t="s">
        <v>19</v>
      </c>
      <c r="H54" s="5">
        <v>3</v>
      </c>
      <c r="I54" s="6">
        <f>VLOOKUP(G54,CongLaoDong!$B$8:$G$12,5,0)</f>
        <v>1897500</v>
      </c>
      <c r="J54" s="6">
        <f t="shared" si="1"/>
        <v>5692500</v>
      </c>
    </row>
    <row r="55" spans="1:10">
      <c r="A55" s="76"/>
      <c r="B55" s="76"/>
      <c r="C55" s="76"/>
      <c r="D55" s="76"/>
      <c r="E55" s="76"/>
      <c r="F55" s="3" t="s">
        <v>30</v>
      </c>
      <c r="G55" s="4" t="s">
        <v>31</v>
      </c>
      <c r="H55" s="5">
        <v>1.2</v>
      </c>
      <c r="I55" s="6">
        <f>VLOOKUP(G55,CongLaoDong!$B$8:$G$12,5,0)</f>
        <v>1518000</v>
      </c>
      <c r="J55" s="6">
        <f t="shared" si="1"/>
        <v>1821600</v>
      </c>
    </row>
    <row r="56" spans="1:10">
      <c r="A56" s="47">
        <v>18</v>
      </c>
      <c r="B56" s="50" t="s">
        <v>77</v>
      </c>
      <c r="C56" s="49" t="s">
        <v>78</v>
      </c>
      <c r="D56" s="49" t="s">
        <v>79</v>
      </c>
      <c r="E56" s="47" t="s">
        <v>70</v>
      </c>
      <c r="F56" s="3" t="s">
        <v>18</v>
      </c>
      <c r="G56" s="4" t="s">
        <v>19</v>
      </c>
      <c r="H56" s="5">
        <v>2</v>
      </c>
      <c r="I56" s="6">
        <f>VLOOKUP(G56,CongLaoDong!$B$8:$G$12,5,0)</f>
        <v>1897500</v>
      </c>
      <c r="J56" s="6">
        <f t="shared" si="1"/>
        <v>3795000</v>
      </c>
    </row>
    <row r="57" spans="1:10">
      <c r="A57" s="76"/>
      <c r="B57" s="76"/>
      <c r="C57" s="76"/>
      <c r="D57" s="76"/>
      <c r="E57" s="76"/>
      <c r="F57" s="3" t="s">
        <v>20</v>
      </c>
      <c r="G57" s="4" t="s">
        <v>26</v>
      </c>
      <c r="H57" s="5">
        <v>1.6</v>
      </c>
      <c r="I57" s="6">
        <f>VLOOKUP(G57,CongLaoDong!$B$8:$G$12,5,0)</f>
        <v>1391500</v>
      </c>
      <c r="J57" s="6">
        <f t="shared" si="1"/>
        <v>2226400</v>
      </c>
    </row>
    <row r="58" spans="1:10">
      <c r="A58" s="47">
        <v>19</v>
      </c>
      <c r="B58" s="50" t="s">
        <v>80</v>
      </c>
      <c r="C58" s="49" t="s">
        <v>81</v>
      </c>
      <c r="D58" s="49" t="s">
        <v>82</v>
      </c>
      <c r="E58" s="47" t="s">
        <v>70</v>
      </c>
      <c r="F58" s="3" t="s">
        <v>18</v>
      </c>
      <c r="G58" s="4" t="s">
        <v>19</v>
      </c>
      <c r="H58" s="5">
        <v>1.6</v>
      </c>
      <c r="I58" s="6">
        <f>VLOOKUP(G58,CongLaoDong!$B$8:$G$12,5,0)</f>
        <v>1897500</v>
      </c>
      <c r="J58" s="6">
        <f t="shared" si="1"/>
        <v>3036000</v>
      </c>
    </row>
    <row r="59" spans="1:10">
      <c r="A59" s="76"/>
      <c r="B59" s="76"/>
      <c r="C59" s="76"/>
      <c r="D59" s="76"/>
      <c r="E59" s="76"/>
      <c r="F59" s="3" t="s">
        <v>20</v>
      </c>
      <c r="G59" s="4" t="s">
        <v>21</v>
      </c>
      <c r="H59" s="5">
        <v>3.2</v>
      </c>
      <c r="I59" s="6">
        <f>VLOOKUP(G59,CongLaoDong!$B$8:$G$12,5,0)</f>
        <v>1391500</v>
      </c>
      <c r="J59" s="6">
        <f t="shared" si="1"/>
        <v>4452800</v>
      </c>
    </row>
    <row r="60" spans="1:10">
      <c r="A60" s="47">
        <v>20</v>
      </c>
      <c r="B60" s="50" t="s">
        <v>83</v>
      </c>
      <c r="C60" s="49" t="s">
        <v>84</v>
      </c>
      <c r="D60" s="49" t="s">
        <v>85</v>
      </c>
      <c r="E60" s="47" t="s">
        <v>86</v>
      </c>
      <c r="F60" s="3" t="s">
        <v>18</v>
      </c>
      <c r="G60" s="4" t="s">
        <v>19</v>
      </c>
      <c r="H60" s="5">
        <v>4</v>
      </c>
      <c r="I60" s="6">
        <f>VLOOKUP(G60,CongLaoDong!$B$8:$G$12,5,0)</f>
        <v>1897500</v>
      </c>
      <c r="J60" s="6">
        <f t="shared" si="1"/>
        <v>7590000</v>
      </c>
    </row>
    <row r="61" spans="1:10">
      <c r="A61" s="76"/>
      <c r="B61" s="76"/>
      <c r="C61" s="76"/>
      <c r="D61" s="76"/>
      <c r="E61" s="76"/>
      <c r="F61" s="3" t="s">
        <v>20</v>
      </c>
      <c r="G61" s="4" t="s">
        <v>21</v>
      </c>
      <c r="H61" s="5">
        <v>1.7</v>
      </c>
      <c r="I61" s="6">
        <f>VLOOKUP(G61,CongLaoDong!$B$8:$G$12,5,0)</f>
        <v>1391500</v>
      </c>
      <c r="J61" s="6">
        <f t="shared" si="1"/>
        <v>2365550</v>
      </c>
    </row>
    <row r="62" spans="1:10">
      <c r="A62" s="47">
        <v>21</v>
      </c>
      <c r="B62" s="50" t="s">
        <v>87</v>
      </c>
      <c r="C62" s="49" t="s">
        <v>88</v>
      </c>
      <c r="D62" s="49" t="s">
        <v>89</v>
      </c>
      <c r="E62" s="47" t="s">
        <v>86</v>
      </c>
      <c r="F62" s="3" t="s">
        <v>18</v>
      </c>
      <c r="G62" s="4" t="s">
        <v>19</v>
      </c>
      <c r="H62" s="5">
        <v>2</v>
      </c>
      <c r="I62" s="6">
        <f>VLOOKUP(G62,CongLaoDong!$B$8:$G$12,5,0)</f>
        <v>1897500</v>
      </c>
      <c r="J62" s="6">
        <f t="shared" si="1"/>
        <v>3795000</v>
      </c>
    </row>
    <row r="63" spans="1:10">
      <c r="A63" s="76"/>
      <c r="B63" s="76"/>
      <c r="C63" s="76"/>
      <c r="D63" s="76"/>
      <c r="E63" s="76"/>
      <c r="F63" s="3" t="s">
        <v>20</v>
      </c>
      <c r="G63" s="4" t="s">
        <v>26</v>
      </c>
      <c r="H63" s="5">
        <v>1</v>
      </c>
      <c r="I63" s="6">
        <f>VLOOKUP(G63,CongLaoDong!$B$8:$G$12,5,0)</f>
        <v>1391500</v>
      </c>
      <c r="J63" s="6">
        <f t="shared" si="1"/>
        <v>1391500</v>
      </c>
    </row>
    <row r="64" spans="1:10" ht="19.899999999999999" customHeight="1">
      <c r="A64" s="2"/>
      <c r="B64" s="7" t="s">
        <v>90</v>
      </c>
      <c r="C64" s="2"/>
      <c r="D64" s="2"/>
      <c r="E64" s="2"/>
      <c r="F64" s="2"/>
      <c r="G64" s="2"/>
      <c r="H64" s="8">
        <f>SUM(H7:H63)</f>
        <v>290.39999999999998</v>
      </c>
      <c r="I64" s="2"/>
      <c r="J64" s="9">
        <f>SUM(J7:J63)</f>
        <v>447974450</v>
      </c>
    </row>
  </sheetData>
  <mergeCells count="114">
    <mergeCell ref="B22:B24"/>
    <mergeCell ref="C30:C34"/>
    <mergeCell ref="A46:A49"/>
    <mergeCell ref="B25:B29"/>
    <mergeCell ref="C46:C49"/>
    <mergeCell ref="B14:B16"/>
    <mergeCell ref="D20:D21"/>
    <mergeCell ref="C38:C41"/>
    <mergeCell ref="C62:C63"/>
    <mergeCell ref="E62:E63"/>
    <mergeCell ref="B17:B19"/>
    <mergeCell ref="E56:E57"/>
    <mergeCell ref="B62:B63"/>
    <mergeCell ref="E44:E45"/>
    <mergeCell ref="A12:A13"/>
    <mergeCell ref="C12:C13"/>
    <mergeCell ref="E25:E29"/>
    <mergeCell ref="E46:E49"/>
    <mergeCell ref="A58:A59"/>
    <mergeCell ref="A60:A61"/>
    <mergeCell ref="A35:A37"/>
    <mergeCell ref="C56:C57"/>
    <mergeCell ref="D12:D13"/>
    <mergeCell ref="B44:B45"/>
    <mergeCell ref="E54:E55"/>
    <mergeCell ref="A30:A34"/>
    <mergeCell ref="E38:E41"/>
    <mergeCell ref="B42:B43"/>
    <mergeCell ref="D46:D49"/>
    <mergeCell ref="D25:D29"/>
    <mergeCell ref="E50:E51"/>
    <mergeCell ref="C35:C37"/>
    <mergeCell ref="B54:B55"/>
    <mergeCell ref="E35:E37"/>
    <mergeCell ref="D54:D55"/>
    <mergeCell ref="B60:B61"/>
    <mergeCell ref="C60:C61"/>
    <mergeCell ref="E60:E61"/>
    <mergeCell ref="C54:C55"/>
    <mergeCell ref="D38:D41"/>
    <mergeCell ref="D42:D43"/>
    <mergeCell ref="B38:B41"/>
    <mergeCell ref="E9:E11"/>
    <mergeCell ref="E52:E53"/>
    <mergeCell ref="E5:E6"/>
    <mergeCell ref="C42:C43"/>
    <mergeCell ref="A17:A19"/>
    <mergeCell ref="C20:C21"/>
    <mergeCell ref="E42:E43"/>
    <mergeCell ref="C17:C19"/>
    <mergeCell ref="E20:E21"/>
    <mergeCell ref="B46:B49"/>
    <mergeCell ref="A50:A51"/>
    <mergeCell ref="C50:C51"/>
    <mergeCell ref="C7:C8"/>
    <mergeCell ref="C14:C16"/>
    <mergeCell ref="E7:E8"/>
    <mergeCell ref="E14:E16"/>
    <mergeCell ref="A52:A53"/>
    <mergeCell ref="A38:A41"/>
    <mergeCell ref="A22:A24"/>
    <mergeCell ref="C44:C45"/>
    <mergeCell ref="E30:E34"/>
    <mergeCell ref="C22:C24"/>
    <mergeCell ref="E22:E24"/>
    <mergeCell ref="D14:D16"/>
    <mergeCell ref="A1:J1"/>
    <mergeCell ref="E17:E19"/>
    <mergeCell ref="A42:A43"/>
    <mergeCell ref="D17:D19"/>
    <mergeCell ref="A2:J2"/>
    <mergeCell ref="C58:C59"/>
    <mergeCell ref="C9:C11"/>
    <mergeCell ref="E58:E59"/>
    <mergeCell ref="A3:J3"/>
    <mergeCell ref="B12:B13"/>
    <mergeCell ref="B52:B53"/>
    <mergeCell ref="D52:D53"/>
    <mergeCell ref="A20:A21"/>
    <mergeCell ref="E12:E13"/>
    <mergeCell ref="A7:A8"/>
    <mergeCell ref="D9:D11"/>
    <mergeCell ref="D7:D8"/>
    <mergeCell ref="F5:J5"/>
    <mergeCell ref="A9:A11"/>
    <mergeCell ref="A5:A6"/>
    <mergeCell ref="B7:B8"/>
    <mergeCell ref="D30:D34"/>
    <mergeCell ref="D58:D59"/>
    <mergeCell ref="B5:B6"/>
    <mergeCell ref="A62:A63"/>
    <mergeCell ref="A44:A45"/>
    <mergeCell ref="D5:D6"/>
    <mergeCell ref="A25:A29"/>
    <mergeCell ref="D60:D61"/>
    <mergeCell ref="C25:C29"/>
    <mergeCell ref="B9:B11"/>
    <mergeCell ref="B50:B51"/>
    <mergeCell ref="D50:D51"/>
    <mergeCell ref="D44:D45"/>
    <mergeCell ref="A54:A55"/>
    <mergeCell ref="A14:A16"/>
    <mergeCell ref="B58:B59"/>
    <mergeCell ref="B35:B37"/>
    <mergeCell ref="A56:A57"/>
    <mergeCell ref="D35:D37"/>
    <mergeCell ref="D56:D57"/>
    <mergeCell ref="C52:C53"/>
    <mergeCell ref="B56:B57"/>
    <mergeCell ref="C5:C6"/>
    <mergeCell ref="B30:B34"/>
    <mergeCell ref="D62:D63"/>
    <mergeCell ref="D22:D24"/>
    <mergeCell ref="B20:B21"/>
  </mergeCells>
  <pageMargins left="0.75" right="0.75" top="1" bottom="1" header="0.5" footer="0.5"/>
  <pageSetup paperSize="9" scale="62"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
  <sheetViews>
    <sheetView showGridLines="0" view="pageBreakPreview" zoomScale="85" zoomScaleNormal="100" zoomScaleSheetLayoutView="85" workbookViewId="0">
      <selection activeCell="A25" sqref="A25:B25"/>
    </sheetView>
  </sheetViews>
  <sheetFormatPr defaultRowHeight="14.45"/>
  <cols>
    <col min="1" max="1" width="6" customWidth="1"/>
    <col min="2" max="2" width="24" customWidth="1"/>
    <col min="3" max="3" width="36" customWidth="1"/>
    <col min="4" max="5" width="13" customWidth="1"/>
    <col min="6" max="6" width="16" customWidth="1"/>
    <col min="7" max="7" width="18" customWidth="1"/>
    <col min="8" max="8" width="14" customWidth="1"/>
  </cols>
  <sheetData>
    <row r="1" spans="1:8" ht="34.15" customHeight="1">
      <c r="A1" s="51" t="s">
        <v>91</v>
      </c>
      <c r="B1" s="74"/>
      <c r="C1" s="74"/>
      <c r="D1" s="74"/>
      <c r="E1" s="74"/>
      <c r="F1" s="74"/>
      <c r="G1" s="74"/>
      <c r="H1" s="74"/>
    </row>
    <row r="2" spans="1:8" ht="24">
      <c r="A2" s="10" t="s">
        <v>92</v>
      </c>
      <c r="B2" s="54" t="s">
        <v>93</v>
      </c>
      <c r="C2" s="74"/>
      <c r="D2" s="74"/>
      <c r="E2" s="74"/>
      <c r="F2" s="74"/>
      <c r="G2" s="74"/>
      <c r="H2" s="74"/>
    </row>
    <row r="3" spans="1:8" ht="24">
      <c r="A3" s="10" t="s">
        <v>94</v>
      </c>
      <c r="B3" s="54" t="s">
        <v>95</v>
      </c>
      <c r="C3" s="74"/>
      <c r="D3" s="74"/>
      <c r="E3" s="74"/>
      <c r="F3" s="74"/>
      <c r="G3" s="74"/>
      <c r="H3" s="74"/>
    </row>
    <row r="4" spans="1:8" ht="24">
      <c r="A4" s="10" t="s">
        <v>96</v>
      </c>
      <c r="B4" s="54" t="s">
        <v>19</v>
      </c>
      <c r="C4" s="74"/>
      <c r="D4" s="74"/>
      <c r="E4" s="74"/>
      <c r="F4" s="74"/>
      <c r="G4" s="74"/>
      <c r="H4" s="74"/>
    </row>
    <row r="5" spans="1:8">
      <c r="A5" s="60" t="s">
        <v>97</v>
      </c>
      <c r="B5" s="74"/>
      <c r="C5" s="74"/>
      <c r="D5" s="74"/>
      <c r="E5" s="11">
        <v>2530000</v>
      </c>
      <c r="F5" s="56"/>
      <c r="G5" s="74"/>
      <c r="H5" s="74"/>
    </row>
    <row r="7" spans="1:8" ht="31.9" customHeight="1">
      <c r="A7" s="1" t="s">
        <v>98</v>
      </c>
      <c r="B7" s="1" t="s">
        <v>99</v>
      </c>
      <c r="C7" s="1" t="s">
        <v>100</v>
      </c>
      <c r="D7" s="1" t="s">
        <v>11</v>
      </c>
      <c r="E7" s="1" t="s">
        <v>101</v>
      </c>
      <c r="F7" s="1" t="s">
        <v>12</v>
      </c>
      <c r="G7" s="1" t="s">
        <v>13</v>
      </c>
      <c r="H7" s="1" t="s">
        <v>102</v>
      </c>
    </row>
    <row r="8" spans="1:8">
      <c r="A8" s="3">
        <v>1</v>
      </c>
      <c r="B8" s="4" t="s">
        <v>19</v>
      </c>
      <c r="C8" s="4" t="s">
        <v>103</v>
      </c>
      <c r="D8" s="5">
        <f>SUMIF(CongViec!$G:$G,$B8,CongViec!$H:$H)</f>
        <v>57.6</v>
      </c>
      <c r="E8" s="12">
        <v>0.75</v>
      </c>
      <c r="F8" s="6">
        <f>E8*$E$5</f>
        <v>1897500</v>
      </c>
      <c r="G8" s="6">
        <f>D8*F8</f>
        <v>109296000</v>
      </c>
      <c r="H8" s="13">
        <f t="shared" ref="H8:H13" si="0">IF($G$13=0,0,G8/$G$13)</f>
        <v>0.24397820009600993</v>
      </c>
    </row>
    <row r="9" spans="1:8">
      <c r="A9" s="3">
        <v>2</v>
      </c>
      <c r="B9" s="4" t="s">
        <v>39</v>
      </c>
      <c r="C9" s="4" t="s">
        <v>104</v>
      </c>
      <c r="D9" s="5">
        <f>SUMIF(CongViec!$G:$G,$B9,CongViec!$H:$H)</f>
        <v>57.800000000000004</v>
      </c>
      <c r="E9" s="12">
        <v>0.6</v>
      </c>
      <c r="F9" s="6">
        <f>E9*$E$5</f>
        <v>1518000</v>
      </c>
      <c r="G9" s="6">
        <f>D9*F9</f>
        <v>87740400</v>
      </c>
      <c r="H9" s="13">
        <f t="shared" si="0"/>
        <v>0.19586027729929686</v>
      </c>
    </row>
    <row r="10" spans="1:8">
      <c r="A10" s="3">
        <v>3</v>
      </c>
      <c r="B10" s="4" t="s">
        <v>31</v>
      </c>
      <c r="C10" s="4" t="s">
        <v>105</v>
      </c>
      <c r="D10" s="5">
        <f>SUMIF(CongViec!$G:$G,$B10,CongViec!$H:$H)</f>
        <v>58.7</v>
      </c>
      <c r="E10" s="12">
        <v>0.6</v>
      </c>
      <c r="F10" s="6">
        <f>E10*$E$5</f>
        <v>1518000</v>
      </c>
      <c r="G10" s="6">
        <f>D10*F10</f>
        <v>89106600</v>
      </c>
      <c r="H10" s="13">
        <f t="shared" si="0"/>
        <v>0.198910004800497</v>
      </c>
    </row>
    <row r="11" spans="1:8">
      <c r="A11" s="3">
        <v>4</v>
      </c>
      <c r="B11" s="4" t="s">
        <v>26</v>
      </c>
      <c r="C11" s="4" t="s">
        <v>106</v>
      </c>
      <c r="D11" s="5">
        <f>SUMIF(CongViec!$G:$G,$B11,CongViec!$H:$H)</f>
        <v>58.1</v>
      </c>
      <c r="E11" s="12">
        <v>0.55000000000000004</v>
      </c>
      <c r="F11" s="6">
        <f>E11*$E$5</f>
        <v>1391500</v>
      </c>
      <c r="G11" s="6">
        <f>D11*F11</f>
        <v>80846150</v>
      </c>
      <c r="H11" s="13">
        <f t="shared" si="0"/>
        <v>0.18047044870527773</v>
      </c>
    </row>
    <row r="12" spans="1:8">
      <c r="A12" s="3">
        <v>5</v>
      </c>
      <c r="B12" s="4" t="s">
        <v>21</v>
      </c>
      <c r="C12" s="4" t="s">
        <v>107</v>
      </c>
      <c r="D12" s="5">
        <f>SUMIF(CongViec!$G:$G,$B12,CongViec!$H:$H)</f>
        <v>58.20000000000001</v>
      </c>
      <c r="E12" s="12">
        <v>0.55000000000000004</v>
      </c>
      <c r="F12" s="6">
        <f>E12*$E$5</f>
        <v>1391500</v>
      </c>
      <c r="G12" s="6">
        <f>D12*F12</f>
        <v>80985300.000000015</v>
      </c>
      <c r="H12" s="13">
        <f t="shared" si="0"/>
        <v>0.1807810690989185</v>
      </c>
    </row>
    <row r="13" spans="1:8">
      <c r="A13" s="57" t="s">
        <v>108</v>
      </c>
      <c r="B13" s="78"/>
      <c r="C13" s="79"/>
      <c r="D13" s="8">
        <f>SUM(D8:D12)</f>
        <v>290.40000000000003</v>
      </c>
      <c r="E13" s="2"/>
      <c r="F13" s="9">
        <f>IF(D13=0,0,G13/D13)</f>
        <v>1542611.7424242422</v>
      </c>
      <c r="G13" s="9">
        <f>SUM(G8:G12)</f>
        <v>447974450</v>
      </c>
      <c r="H13" s="14">
        <f t="shared" si="0"/>
        <v>1</v>
      </c>
    </row>
    <row r="14" spans="1:8">
      <c r="A14" s="58" t="s">
        <v>109</v>
      </c>
      <c r="B14" s="74"/>
      <c r="C14" s="74"/>
      <c r="D14" s="74"/>
      <c r="E14" s="74"/>
      <c r="F14" s="74"/>
      <c r="G14" s="74"/>
      <c r="H14" s="74"/>
    </row>
    <row r="15" spans="1:8">
      <c r="A15" s="61" t="s">
        <v>110</v>
      </c>
      <c r="B15" s="61"/>
    </row>
    <row r="16" spans="1:8">
      <c r="B16" s="15">
        <f>CongViec!H64</f>
        <v>290.39999999999998</v>
      </c>
      <c r="C16" s="56" t="s">
        <v>111</v>
      </c>
      <c r="D16" s="74"/>
      <c r="E16" s="74"/>
    </row>
    <row r="17" spans="1:8">
      <c r="B17" s="15">
        <f>D13-B16</f>
        <v>0</v>
      </c>
      <c r="C17" s="56" t="s">
        <v>112</v>
      </c>
      <c r="D17" s="74"/>
      <c r="E17" s="74"/>
    </row>
    <row r="18" spans="1:8">
      <c r="B18" s="16">
        <f>CongViec!J64</f>
        <v>447974450</v>
      </c>
      <c r="C18" s="56" t="s">
        <v>113</v>
      </c>
      <c r="D18" s="74"/>
      <c r="E18" s="74"/>
    </row>
    <row r="19" spans="1:8">
      <c r="B19" s="16">
        <f>G13-B18</f>
        <v>0</v>
      </c>
      <c r="C19" s="56" t="s">
        <v>114</v>
      </c>
      <c r="D19" s="74"/>
      <c r="E19" s="74"/>
    </row>
    <row r="21" spans="1:8" ht="39.6" customHeight="1">
      <c r="A21" s="61" t="s">
        <v>115</v>
      </c>
      <c r="B21" s="61"/>
    </row>
    <row r="22" spans="1:8">
      <c r="A22" s="62" t="s">
        <v>116</v>
      </c>
      <c r="B22" s="62"/>
      <c r="C22" s="55" t="s">
        <v>117</v>
      </c>
      <c r="D22" s="74"/>
      <c r="E22" s="74"/>
      <c r="F22" s="74"/>
      <c r="G22" s="74"/>
      <c r="H22" s="74"/>
    </row>
    <row r="23" spans="1:8">
      <c r="A23" s="62" t="s">
        <v>118</v>
      </c>
      <c r="B23" s="62"/>
      <c r="C23" s="55" t="s">
        <v>119</v>
      </c>
      <c r="D23" s="74"/>
      <c r="E23" s="74"/>
      <c r="F23" s="74"/>
      <c r="G23" s="74"/>
      <c r="H23" s="74"/>
    </row>
    <row r="24" spans="1:8">
      <c r="A24" s="62" t="s">
        <v>120</v>
      </c>
      <c r="B24" s="62"/>
      <c r="C24" s="55" t="s">
        <v>121</v>
      </c>
      <c r="D24" s="74"/>
      <c r="E24" s="74"/>
      <c r="F24" s="74"/>
      <c r="G24" s="74"/>
      <c r="H24" s="74"/>
    </row>
    <row r="25" spans="1:8">
      <c r="A25" s="62" t="s">
        <v>122</v>
      </c>
      <c r="B25" s="62"/>
      <c r="C25" s="55" t="s">
        <v>123</v>
      </c>
      <c r="D25" s="74"/>
      <c r="E25" s="74"/>
      <c r="F25" s="74"/>
      <c r="G25" s="74"/>
      <c r="H25" s="74"/>
    </row>
    <row r="27" spans="1:8">
      <c r="E27" s="59" t="s">
        <v>124</v>
      </c>
      <c r="F27" s="74"/>
      <c r="G27" s="74"/>
      <c r="H27" s="74"/>
    </row>
    <row r="28" spans="1:8">
      <c r="B28" s="53" t="s">
        <v>125</v>
      </c>
      <c r="C28" s="74"/>
      <c r="E28" s="53" t="s">
        <v>126</v>
      </c>
      <c r="F28" s="74"/>
      <c r="G28" s="74"/>
      <c r="H28" s="74"/>
    </row>
    <row r="31" spans="1:8">
      <c r="B31" s="53" t="s">
        <v>19</v>
      </c>
      <c r="C31" s="74"/>
      <c r="E31" s="53" t="s">
        <v>19</v>
      </c>
      <c r="F31" s="74"/>
      <c r="G31" s="74"/>
      <c r="H31" s="74"/>
    </row>
  </sheetData>
  <mergeCells count="27">
    <mergeCell ref="C16:E16"/>
    <mergeCell ref="A5:D5"/>
    <mergeCell ref="C25:H25"/>
    <mergeCell ref="F5:H5"/>
    <mergeCell ref="C22:H22"/>
    <mergeCell ref="A21:B21"/>
    <mergeCell ref="A22:B22"/>
    <mergeCell ref="A23:B23"/>
    <mergeCell ref="A24:B24"/>
    <mergeCell ref="A25:B25"/>
    <mergeCell ref="A15:B15"/>
    <mergeCell ref="A1:H1"/>
    <mergeCell ref="E31:H31"/>
    <mergeCell ref="B4:H4"/>
    <mergeCell ref="C23:H23"/>
    <mergeCell ref="C17:E17"/>
    <mergeCell ref="B3:H3"/>
    <mergeCell ref="A13:C13"/>
    <mergeCell ref="B28:C28"/>
    <mergeCell ref="C19:E19"/>
    <mergeCell ref="C18:E18"/>
    <mergeCell ref="B2:H2"/>
    <mergeCell ref="E28:H28"/>
    <mergeCell ref="A14:H14"/>
    <mergeCell ref="E27:H27"/>
    <mergeCell ref="C24:H24"/>
    <mergeCell ref="B31:C31"/>
  </mergeCells>
  <pageMargins left="0.75" right="0.75" top="1" bottom="1" header="0.5" footer="0.5"/>
  <pageSetup scale="8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5"/>
  <sheetViews>
    <sheetView showGridLines="0" workbookViewId="0">
      <selection activeCell="G17" sqref="G17"/>
    </sheetView>
  </sheetViews>
  <sheetFormatPr defaultRowHeight="14.45"/>
  <cols>
    <col min="1" max="1" width="6" customWidth="1"/>
    <col min="2" max="2" width="44" customWidth="1"/>
    <col min="3" max="3" width="20" customWidth="1"/>
    <col min="4" max="4" width="46" customWidth="1"/>
  </cols>
  <sheetData>
    <row r="1" spans="1:4" ht="25.9" customHeight="1">
      <c r="A1" s="64" t="s">
        <v>127</v>
      </c>
      <c r="B1" s="74"/>
      <c r="C1" s="74"/>
      <c r="D1" s="74"/>
    </row>
    <row r="2" spans="1:4" ht="24">
      <c r="A2" s="10" t="s">
        <v>92</v>
      </c>
      <c r="B2" s="54" t="s">
        <v>93</v>
      </c>
      <c r="C2" s="74"/>
      <c r="D2" s="74"/>
    </row>
    <row r="3" spans="1:4" ht="24">
      <c r="A3" s="10" t="s">
        <v>94</v>
      </c>
      <c r="B3" s="54" t="s">
        <v>95</v>
      </c>
      <c r="C3" s="74"/>
      <c r="D3" s="74"/>
    </row>
    <row r="4" spans="1:4" ht="24">
      <c r="A4" s="10" t="s">
        <v>96</v>
      </c>
      <c r="B4" s="54" t="s">
        <v>19</v>
      </c>
      <c r="C4" s="74"/>
      <c r="D4" s="74"/>
    </row>
    <row r="5" spans="1:4" ht="24">
      <c r="A5" s="10" t="s">
        <v>128</v>
      </c>
      <c r="B5" s="54" t="s">
        <v>129</v>
      </c>
      <c r="C5" s="74"/>
      <c r="D5" s="74"/>
    </row>
    <row r="7" spans="1:4">
      <c r="A7" s="1" t="s">
        <v>98</v>
      </c>
      <c r="B7" s="1" t="s">
        <v>130</v>
      </c>
      <c r="C7" s="1" t="s">
        <v>131</v>
      </c>
      <c r="D7" s="1" t="s">
        <v>132</v>
      </c>
    </row>
    <row r="8" spans="1:4" ht="22.9">
      <c r="A8" s="3">
        <v>1</v>
      </c>
      <c r="B8" s="4" t="s">
        <v>133</v>
      </c>
      <c r="C8" s="19">
        <f>CongLaoDong!G13</f>
        <v>447974450</v>
      </c>
      <c r="D8" s="4" t="s">
        <v>134</v>
      </c>
    </row>
    <row r="9" spans="1:4" ht="22.9">
      <c r="A9" s="3">
        <v>2</v>
      </c>
      <c r="B9" s="4" t="s">
        <v>135</v>
      </c>
      <c r="C9" s="19">
        <f>'Thiết bị vật tư'!F21</f>
        <v>46000000</v>
      </c>
      <c r="D9" s="4" t="s">
        <v>136</v>
      </c>
    </row>
    <row r="10" spans="1:4" ht="22.9">
      <c r="A10" s="3">
        <v>3</v>
      </c>
      <c r="B10" s="4" t="s">
        <v>137</v>
      </c>
      <c r="C10" s="19">
        <f>'Chi khác'!D25</f>
        <v>146025550</v>
      </c>
      <c r="D10" s="4" t="s">
        <v>138</v>
      </c>
    </row>
    <row r="11" spans="1:4">
      <c r="A11" s="57" t="s">
        <v>108</v>
      </c>
      <c r="B11" s="79"/>
      <c r="C11" s="9">
        <f>SUM(C8:C10)</f>
        <v>640000000</v>
      </c>
      <c r="D11" s="7" t="s">
        <v>139</v>
      </c>
    </row>
    <row r="13" spans="1:4">
      <c r="A13" s="63" t="s">
        <v>140</v>
      </c>
      <c r="B13" s="63"/>
      <c r="C13" s="63"/>
      <c r="D13" s="63"/>
    </row>
    <row r="14" spans="1:4">
      <c r="A14" s="1" t="s">
        <v>98</v>
      </c>
      <c r="B14" s="1" t="s">
        <v>141</v>
      </c>
      <c r="C14" s="1" t="s">
        <v>142</v>
      </c>
      <c r="D14" s="1" t="s">
        <v>132</v>
      </c>
    </row>
    <row r="15" spans="1:4">
      <c r="A15" s="3">
        <v>1</v>
      </c>
      <c r="B15" s="4" t="s">
        <v>143</v>
      </c>
      <c r="C15" s="19">
        <f>'Chi khác'!$D$5</f>
        <v>640000000</v>
      </c>
      <c r="D15" s="4" t="s">
        <v>144</v>
      </c>
    </row>
    <row r="16" spans="1:4">
      <c r="A16" s="3">
        <v>2</v>
      </c>
      <c r="B16" s="4" t="s">
        <v>145</v>
      </c>
      <c r="C16" s="19">
        <f>C11-C15</f>
        <v>0</v>
      </c>
      <c r="D16" s="4" t="s">
        <v>146</v>
      </c>
    </row>
    <row r="17" spans="1:4" ht="22.9">
      <c r="A17" s="3">
        <v>3</v>
      </c>
      <c r="B17" s="4" t="s">
        <v>147</v>
      </c>
      <c r="C17" s="20">
        <v>448000000</v>
      </c>
      <c r="D17" s="4" t="s">
        <v>148</v>
      </c>
    </row>
    <row r="18" spans="1:4" ht="22.9">
      <c r="A18" s="3">
        <v>4</v>
      </c>
      <c r="B18" s="4" t="s">
        <v>149</v>
      </c>
      <c r="C18" s="19">
        <f>C8-C17</f>
        <v>-25550</v>
      </c>
      <c r="D18" s="4" t="s">
        <v>150</v>
      </c>
    </row>
    <row r="19" spans="1:4" ht="22.9">
      <c r="A19" s="3">
        <v>5</v>
      </c>
      <c r="B19" s="4" t="s">
        <v>151</v>
      </c>
      <c r="C19" s="21">
        <f>IF(C17=0,0,C18/C17)</f>
        <v>-5.7031250000000001E-5</v>
      </c>
      <c r="D19" s="4" t="s">
        <v>152</v>
      </c>
    </row>
    <row r="21" spans="1:4">
      <c r="C21" s="59" t="s">
        <v>124</v>
      </c>
      <c r="D21" s="74"/>
    </row>
    <row r="22" spans="1:4">
      <c r="C22" s="53" t="s">
        <v>125</v>
      </c>
      <c r="D22" s="74"/>
    </row>
    <row r="25" spans="1:4">
      <c r="C25" s="53" t="s">
        <v>19</v>
      </c>
      <c r="D25" s="74"/>
    </row>
  </sheetData>
  <mergeCells count="10">
    <mergeCell ref="A1:D1"/>
    <mergeCell ref="B3:D3"/>
    <mergeCell ref="B5:D5"/>
    <mergeCell ref="A11:B11"/>
    <mergeCell ref="B4:D4"/>
    <mergeCell ref="C25:D25"/>
    <mergeCell ref="C21:D21"/>
    <mergeCell ref="C22:D22"/>
    <mergeCell ref="B2:D2"/>
    <mergeCell ref="A13:D13"/>
  </mergeCells>
  <pageMargins left="0.75" right="0.75" top="1" bottom="1" header="0.5" footer="0.5"/>
  <pageSetup orientation="landscape"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1"/>
  <sheetViews>
    <sheetView showGridLines="0" view="pageBreakPreview" zoomScale="85" zoomScaleNormal="100" zoomScaleSheetLayoutView="85" workbookViewId="0">
      <selection activeCell="B4" sqref="B4:G4"/>
    </sheetView>
  </sheetViews>
  <sheetFormatPr defaultRowHeight="14.45"/>
  <cols>
    <col min="1" max="1" width="6" customWidth="1"/>
    <col min="2" max="2" width="46" customWidth="1"/>
    <col min="3" max="3" width="14" customWidth="1"/>
    <col min="4" max="4" width="11" customWidth="1"/>
    <col min="5" max="5" width="15" customWidth="1"/>
    <col min="6" max="6" width="16" customWidth="1"/>
    <col min="7" max="7" width="34" customWidth="1"/>
  </cols>
  <sheetData>
    <row r="1" spans="1:7" ht="34.15" customHeight="1">
      <c r="A1" s="51" t="s">
        <v>153</v>
      </c>
      <c r="B1" s="74"/>
      <c r="C1" s="74"/>
      <c r="D1" s="74"/>
      <c r="E1" s="74"/>
      <c r="F1" s="74"/>
      <c r="G1" s="74"/>
    </row>
    <row r="2" spans="1:7" ht="24">
      <c r="A2" s="10" t="s">
        <v>92</v>
      </c>
      <c r="B2" s="54" t="s">
        <v>93</v>
      </c>
      <c r="C2" s="74"/>
      <c r="D2" s="74"/>
      <c r="E2" s="74"/>
      <c r="F2" s="74"/>
      <c r="G2" s="74"/>
    </row>
    <row r="3" spans="1:7" ht="24">
      <c r="A3" s="10" t="s">
        <v>94</v>
      </c>
      <c r="B3" s="54" t="s">
        <v>95</v>
      </c>
      <c r="C3" s="74"/>
      <c r="D3" s="74"/>
      <c r="E3" s="74"/>
      <c r="F3" s="74"/>
      <c r="G3" s="74"/>
    </row>
    <row r="4" spans="1:7" ht="24">
      <c r="A4" s="10" t="s">
        <v>96</v>
      </c>
      <c r="B4" s="54" t="s">
        <v>19</v>
      </c>
      <c r="C4" s="74"/>
      <c r="D4" s="74"/>
      <c r="E4" s="74"/>
      <c r="F4" s="74"/>
      <c r="G4" s="74"/>
    </row>
    <row r="5" spans="1:7">
      <c r="A5" s="58" t="s">
        <v>154</v>
      </c>
      <c r="B5" s="74"/>
      <c r="C5" s="74"/>
      <c r="D5" s="74"/>
      <c r="E5" s="74"/>
      <c r="F5" s="74"/>
      <c r="G5" s="74"/>
    </row>
    <row r="7" spans="1:7" ht="30" customHeight="1">
      <c r="A7" s="1" t="s">
        <v>98</v>
      </c>
      <c r="B7" s="1" t="s">
        <v>155</v>
      </c>
      <c r="C7" s="1" t="s">
        <v>156</v>
      </c>
      <c r="D7" s="1" t="s">
        <v>157</v>
      </c>
      <c r="E7" s="1" t="s">
        <v>158</v>
      </c>
      <c r="F7" s="1" t="s">
        <v>159</v>
      </c>
      <c r="G7" s="1" t="s">
        <v>132</v>
      </c>
    </row>
    <row r="8" spans="1:7" ht="24">
      <c r="A8" s="22" t="s">
        <v>160</v>
      </c>
      <c r="B8" s="23" t="s">
        <v>161</v>
      </c>
      <c r="C8" s="24"/>
      <c r="D8" s="24"/>
      <c r="E8" s="24"/>
      <c r="F8" s="24"/>
      <c r="G8" s="24"/>
    </row>
    <row r="9" spans="1:7" ht="22.9">
      <c r="A9" s="3">
        <v>1</v>
      </c>
      <c r="B9" s="4" t="s">
        <v>162</v>
      </c>
      <c r="C9" s="3" t="s">
        <v>163</v>
      </c>
      <c r="D9" s="25">
        <v>5</v>
      </c>
      <c r="E9" s="20">
        <v>1000000</v>
      </c>
      <c r="F9" s="6">
        <f>D9*E9</f>
        <v>5000000</v>
      </c>
      <c r="G9" s="4" t="s">
        <v>164</v>
      </c>
    </row>
    <row r="10" spans="1:7" ht="22.9">
      <c r="A10" s="3">
        <v>2</v>
      </c>
      <c r="B10" s="4" t="s">
        <v>165</v>
      </c>
      <c r="C10" s="3" t="s">
        <v>163</v>
      </c>
      <c r="D10" s="25">
        <v>5</v>
      </c>
      <c r="E10" s="20">
        <v>1300000</v>
      </c>
      <c r="F10" s="6">
        <f>D10*E10</f>
        <v>6500000</v>
      </c>
      <c r="G10" s="4" t="s">
        <v>166</v>
      </c>
    </row>
    <row r="11" spans="1:7">
      <c r="A11" s="3">
        <v>3</v>
      </c>
      <c r="B11" s="4" t="s">
        <v>167</v>
      </c>
      <c r="C11" s="3" t="s">
        <v>168</v>
      </c>
      <c r="D11" s="25">
        <v>30</v>
      </c>
      <c r="E11" s="20">
        <v>200000</v>
      </c>
      <c r="F11" s="6">
        <f>D11*E11</f>
        <v>6000000</v>
      </c>
      <c r="G11" s="4" t="s">
        <v>169</v>
      </c>
    </row>
    <row r="12" spans="1:7" ht="22.9">
      <c r="A12" s="3">
        <v>4</v>
      </c>
      <c r="B12" s="4" t="s">
        <v>170</v>
      </c>
      <c r="C12" s="3" t="s">
        <v>168</v>
      </c>
      <c r="D12" s="25">
        <v>8</v>
      </c>
      <c r="E12" s="20">
        <v>375000</v>
      </c>
      <c r="F12" s="6">
        <f>D12*E12</f>
        <v>3000000</v>
      </c>
      <c r="G12" s="4" t="s">
        <v>171</v>
      </c>
    </row>
    <row r="13" spans="1:7" ht="26.45" customHeight="1">
      <c r="A13" s="22" t="s">
        <v>172</v>
      </c>
      <c r="B13" s="23" t="s">
        <v>173</v>
      </c>
      <c r="C13" s="24"/>
      <c r="D13" s="24"/>
      <c r="E13" s="24"/>
      <c r="F13" s="24"/>
      <c r="G13" s="24"/>
    </row>
    <row r="14" spans="1:7" ht="22.9">
      <c r="A14" s="3">
        <v>1</v>
      </c>
      <c r="B14" s="4" t="s">
        <v>174</v>
      </c>
      <c r="C14" s="3" t="s">
        <v>175</v>
      </c>
      <c r="D14" s="25">
        <v>1</v>
      </c>
      <c r="E14" s="20">
        <v>4000000</v>
      </c>
      <c r="F14" s="6">
        <f>D14*E14</f>
        <v>4000000</v>
      </c>
      <c r="G14" s="4" t="s">
        <v>176</v>
      </c>
    </row>
    <row r="15" spans="1:7" ht="22.9">
      <c r="A15" s="3">
        <v>2</v>
      </c>
      <c r="B15" s="4" t="s">
        <v>177</v>
      </c>
      <c r="C15" s="3" t="s">
        <v>175</v>
      </c>
      <c r="D15" s="25">
        <v>1</v>
      </c>
      <c r="E15" s="20">
        <v>4000000</v>
      </c>
      <c r="F15" s="6">
        <f>D15*E15</f>
        <v>4000000</v>
      </c>
      <c r="G15" s="4" t="s">
        <v>178</v>
      </c>
    </row>
    <row r="16" spans="1:7">
      <c r="A16" s="22" t="s">
        <v>179</v>
      </c>
      <c r="B16" s="23" t="s">
        <v>180</v>
      </c>
      <c r="C16" s="24"/>
      <c r="D16" s="24"/>
      <c r="E16" s="24"/>
      <c r="F16" s="24"/>
      <c r="G16" s="24"/>
    </row>
    <row r="17" spans="1:7" ht="22.9">
      <c r="A17" s="3">
        <v>1</v>
      </c>
      <c r="B17" s="4" t="s">
        <v>181</v>
      </c>
      <c r="C17" s="3" t="s">
        <v>163</v>
      </c>
      <c r="D17" s="25">
        <v>3</v>
      </c>
      <c r="E17" s="20">
        <v>3000000</v>
      </c>
      <c r="F17" s="6">
        <f>D17*E17</f>
        <v>9000000</v>
      </c>
      <c r="G17" s="4" t="s">
        <v>182</v>
      </c>
    </row>
    <row r="18" spans="1:7" ht="34.15">
      <c r="A18" s="3">
        <v>2</v>
      </c>
      <c r="B18" s="4" t="s">
        <v>183</v>
      </c>
      <c r="C18" s="3" t="s">
        <v>163</v>
      </c>
      <c r="D18" s="25">
        <v>3</v>
      </c>
      <c r="E18" s="20">
        <v>800000</v>
      </c>
      <c r="F18" s="6">
        <f>D18*E18</f>
        <v>2400000</v>
      </c>
      <c r="G18" s="4" t="s">
        <v>184</v>
      </c>
    </row>
    <row r="19" spans="1:7" ht="22.9">
      <c r="A19" s="3">
        <v>3</v>
      </c>
      <c r="B19" s="4" t="s">
        <v>185</v>
      </c>
      <c r="C19" s="3" t="s">
        <v>186</v>
      </c>
      <c r="D19" s="25">
        <v>1</v>
      </c>
      <c r="E19" s="20">
        <v>1600000</v>
      </c>
      <c r="F19" s="6">
        <f>D19*E19</f>
        <v>1600000</v>
      </c>
      <c r="G19" s="4" t="s">
        <v>187</v>
      </c>
    </row>
    <row r="20" spans="1:7" ht="34.15">
      <c r="A20" s="3">
        <v>4</v>
      </c>
      <c r="B20" s="4" t="s">
        <v>188</v>
      </c>
      <c r="C20" s="3" t="s">
        <v>189</v>
      </c>
      <c r="D20" s="25">
        <v>1</v>
      </c>
      <c r="E20" s="20">
        <v>4500000</v>
      </c>
      <c r="F20" s="6">
        <f>D20*E20</f>
        <v>4500000</v>
      </c>
      <c r="G20" s="4" t="s">
        <v>190</v>
      </c>
    </row>
    <row r="21" spans="1:7" ht="26.45">
      <c r="A21" s="57" t="s">
        <v>108</v>
      </c>
      <c r="B21" s="78"/>
      <c r="C21" s="78"/>
      <c r="D21" s="78"/>
      <c r="E21" s="79"/>
      <c r="F21" s="9">
        <f>SUM(F8:F20)</f>
        <v>46000000</v>
      </c>
      <c r="G21" s="7" t="s">
        <v>191</v>
      </c>
    </row>
    <row r="23" spans="1:7" ht="18.600000000000001" customHeight="1">
      <c r="A23" s="61" t="s">
        <v>115</v>
      </c>
      <c r="B23" s="61"/>
    </row>
    <row r="24" spans="1:7" s="46" customFormat="1" ht="22.15" customHeight="1">
      <c r="A24" s="56" t="s">
        <v>192</v>
      </c>
      <c r="B24" s="56"/>
      <c r="C24" s="54" t="s">
        <v>193</v>
      </c>
      <c r="D24" s="65"/>
      <c r="E24" s="65"/>
      <c r="F24" s="65"/>
      <c r="G24" s="65"/>
    </row>
    <row r="25" spans="1:7" s="46" customFormat="1" ht="23.45" customHeight="1">
      <c r="A25" s="56" t="s">
        <v>194</v>
      </c>
      <c r="B25" s="56"/>
      <c r="C25" s="54" t="s">
        <v>195</v>
      </c>
      <c r="D25" s="65"/>
      <c r="E25" s="65"/>
      <c r="F25" s="65"/>
      <c r="G25" s="65"/>
    </row>
    <row r="27" spans="1:7">
      <c r="E27" s="59" t="s">
        <v>124</v>
      </c>
      <c r="F27" s="74"/>
      <c r="G27" s="74"/>
    </row>
    <row r="28" spans="1:7">
      <c r="B28" s="53" t="s">
        <v>125</v>
      </c>
      <c r="C28" s="74"/>
      <c r="E28" s="53" t="s">
        <v>126</v>
      </c>
      <c r="F28" s="74"/>
      <c r="G28" s="74"/>
    </row>
    <row r="29" spans="1:7" ht="29.45" customHeight="1"/>
    <row r="31" spans="1:7">
      <c r="B31" s="53" t="s">
        <v>19</v>
      </c>
      <c r="C31" s="74"/>
      <c r="E31" s="53" t="s">
        <v>19</v>
      </c>
      <c r="F31" s="74"/>
      <c r="G31" s="74"/>
    </row>
  </sheetData>
  <mergeCells count="16">
    <mergeCell ref="B3:G3"/>
    <mergeCell ref="B2:G2"/>
    <mergeCell ref="A21:E21"/>
    <mergeCell ref="B28:C28"/>
    <mergeCell ref="A1:G1"/>
    <mergeCell ref="B4:G4"/>
    <mergeCell ref="A5:G5"/>
    <mergeCell ref="A23:B23"/>
    <mergeCell ref="E31:G31"/>
    <mergeCell ref="B31:C31"/>
    <mergeCell ref="C24:G24"/>
    <mergeCell ref="E28:G28"/>
    <mergeCell ref="E27:G27"/>
    <mergeCell ref="C25:G25"/>
    <mergeCell ref="A24:B24"/>
    <mergeCell ref="A25:B25"/>
  </mergeCells>
  <pageMargins left="0.75" right="0.75" top="1" bottom="1" header="0.5" footer="0.5"/>
  <pageSetup scale="85" orientation="landscape" r:id="rId1"/>
  <rowBreaks count="1" manualBreakCount="1">
    <brk id="21"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5"/>
  <sheetViews>
    <sheetView showGridLines="0" view="pageBreakPreview" topLeftCell="A17" zoomScaleNormal="100" zoomScaleSheetLayoutView="100" workbookViewId="0">
      <selection activeCell="G28" sqref="G28"/>
    </sheetView>
  </sheetViews>
  <sheetFormatPr defaultRowHeight="14.45"/>
  <cols>
    <col min="1" max="1" width="6" customWidth="1"/>
    <col min="2" max="2" width="44" customWidth="1"/>
    <col min="3" max="3" width="48" customWidth="1"/>
    <col min="4" max="4" width="17" customWidth="1"/>
  </cols>
  <sheetData>
    <row r="1" spans="1:4" ht="34.15" customHeight="1">
      <c r="A1" s="51" t="s">
        <v>196</v>
      </c>
      <c r="B1" s="74"/>
      <c r="C1" s="74"/>
      <c r="D1" s="74"/>
    </row>
    <row r="2" spans="1:4" ht="24">
      <c r="A2" s="10" t="s">
        <v>92</v>
      </c>
      <c r="B2" s="54" t="s">
        <v>93</v>
      </c>
      <c r="C2" s="74"/>
    </row>
    <row r="3" spans="1:4" ht="24">
      <c r="A3" s="10" t="s">
        <v>94</v>
      </c>
      <c r="B3" s="54" t="s">
        <v>95</v>
      </c>
      <c r="C3" s="74"/>
    </row>
    <row r="4" spans="1:4" ht="24">
      <c r="A4" s="10" t="s">
        <v>96</v>
      </c>
      <c r="B4" s="54" t="s">
        <v>19</v>
      </c>
      <c r="C4" s="74"/>
    </row>
    <row r="5" spans="1:4">
      <c r="A5" s="60" t="s">
        <v>197</v>
      </c>
      <c r="B5" s="74"/>
      <c r="C5" s="74"/>
      <c r="D5" s="11">
        <v>640000000</v>
      </c>
    </row>
    <row r="7" spans="1:4">
      <c r="A7" s="1" t="s">
        <v>98</v>
      </c>
      <c r="B7" s="1" t="s">
        <v>198</v>
      </c>
      <c r="C7" s="1" t="s">
        <v>199</v>
      </c>
      <c r="D7" s="1" t="s">
        <v>200</v>
      </c>
    </row>
    <row r="8" spans="1:4">
      <c r="A8" s="22" t="s">
        <v>160</v>
      </c>
      <c r="B8" s="66" t="s">
        <v>201</v>
      </c>
      <c r="C8" s="78"/>
      <c r="D8" s="79"/>
    </row>
    <row r="9" spans="1:4" ht="22.9">
      <c r="A9" s="3">
        <v>1</v>
      </c>
      <c r="B9" s="4" t="s">
        <v>202</v>
      </c>
      <c r="C9" s="4" t="s">
        <v>203</v>
      </c>
      <c r="D9" s="20">
        <v>7800000</v>
      </c>
    </row>
    <row r="10" spans="1:4" ht="22.9">
      <c r="A10" s="3">
        <v>2</v>
      </c>
      <c r="B10" s="4" t="s">
        <v>204</v>
      </c>
      <c r="C10" s="4" t="s">
        <v>205</v>
      </c>
      <c r="D10" s="20">
        <v>6500000</v>
      </c>
    </row>
    <row r="11" spans="1:4" ht="22.9">
      <c r="A11" s="3">
        <v>3</v>
      </c>
      <c r="B11" s="4" t="s">
        <v>206</v>
      </c>
      <c r="C11" s="4" t="s">
        <v>207</v>
      </c>
      <c r="D11" s="20">
        <v>6500000</v>
      </c>
    </row>
    <row r="12" spans="1:4" ht="22.9">
      <c r="A12" s="3">
        <v>4</v>
      </c>
      <c r="B12" s="4" t="s">
        <v>208</v>
      </c>
      <c r="C12" s="4" t="s">
        <v>209</v>
      </c>
      <c r="D12" s="20">
        <v>5200000</v>
      </c>
    </row>
    <row r="13" spans="1:4">
      <c r="A13" s="22" t="s">
        <v>172</v>
      </c>
      <c r="B13" s="66" t="s">
        <v>210</v>
      </c>
      <c r="C13" s="78"/>
      <c r="D13" s="79"/>
    </row>
    <row r="14" spans="1:4">
      <c r="A14" s="3">
        <v>1</v>
      </c>
      <c r="B14" s="4" t="s">
        <v>211</v>
      </c>
      <c r="C14" s="4" t="s">
        <v>212</v>
      </c>
      <c r="D14" s="20">
        <v>4000000</v>
      </c>
    </row>
    <row r="15" spans="1:4" ht="22.9">
      <c r="A15" s="3">
        <v>2</v>
      </c>
      <c r="B15" s="4" t="s">
        <v>213</v>
      </c>
      <c r="C15" s="4" t="s">
        <v>214</v>
      </c>
      <c r="D15" s="20">
        <v>6500000</v>
      </c>
    </row>
    <row r="16" spans="1:4" ht="22.9">
      <c r="A16" s="3">
        <v>3</v>
      </c>
      <c r="B16" s="4" t="s">
        <v>215</v>
      </c>
      <c r="C16" s="4" t="s">
        <v>216</v>
      </c>
      <c r="D16" s="20">
        <v>3500000</v>
      </c>
    </row>
    <row r="17" spans="1:4" ht="22.9">
      <c r="A17" s="3">
        <v>4</v>
      </c>
      <c r="B17" s="4" t="s">
        <v>217</v>
      </c>
      <c r="C17" s="4" t="s">
        <v>218</v>
      </c>
      <c r="D17" s="20">
        <v>4000000</v>
      </c>
    </row>
    <row r="18" spans="1:4">
      <c r="A18" s="22" t="s">
        <v>179</v>
      </c>
      <c r="B18" s="66" t="s">
        <v>219</v>
      </c>
      <c r="C18" s="78"/>
      <c r="D18" s="79"/>
    </row>
    <row r="19" spans="1:4" ht="34.15">
      <c r="A19" s="3">
        <v>1</v>
      </c>
      <c r="B19" s="4" t="s">
        <v>220</v>
      </c>
      <c r="C19" s="4" t="s">
        <v>221</v>
      </c>
      <c r="D19" s="20">
        <v>5000000</v>
      </c>
    </row>
    <row r="20" spans="1:4" ht="22.9">
      <c r="A20" s="3">
        <v>2</v>
      </c>
      <c r="B20" s="4" t="s">
        <v>222</v>
      </c>
      <c r="C20" s="4" t="s">
        <v>223</v>
      </c>
      <c r="D20" s="20">
        <v>4000000</v>
      </c>
    </row>
    <row r="21" spans="1:4" ht="22.9">
      <c r="A21" s="3">
        <v>3</v>
      </c>
      <c r="B21" s="4" t="s">
        <v>224</v>
      </c>
      <c r="C21" s="4" t="s">
        <v>225</v>
      </c>
      <c r="D21" s="20">
        <v>4000000</v>
      </c>
    </row>
    <row r="22" spans="1:4">
      <c r="A22" s="22" t="s">
        <v>226</v>
      </c>
      <c r="B22" s="66" t="s">
        <v>227</v>
      </c>
      <c r="C22" s="78"/>
      <c r="D22" s="79"/>
    </row>
    <row r="23" spans="1:4" ht="22.9">
      <c r="A23" s="3">
        <v>1</v>
      </c>
      <c r="B23" s="4" t="s">
        <v>228</v>
      </c>
      <c r="C23" s="4" t="s">
        <v>229</v>
      </c>
      <c r="D23" s="6">
        <f>ROUND($D$5*5%,0)</f>
        <v>32000000</v>
      </c>
    </row>
    <row r="24" spans="1:4" ht="22.9">
      <c r="A24" s="3">
        <v>2</v>
      </c>
      <c r="B24" s="4" t="s">
        <v>230</v>
      </c>
      <c r="C24" s="4" t="s">
        <v>231</v>
      </c>
      <c r="D24" s="19">
        <f>$D$5-CongLaoDong!$G$13-'Thiết bị vật tư'!$F$21-(D9+D10+D11+D12+D14+D15+D16+D17+D19+D20+D21+D23)</f>
        <v>57025550</v>
      </c>
    </row>
    <row r="25" spans="1:4">
      <c r="A25" s="57" t="s">
        <v>108</v>
      </c>
      <c r="B25" s="78"/>
      <c r="C25" s="79"/>
      <c r="D25" s="9">
        <f>SUM(D9,D10,D11,D12,D14,D15,D16,D17,D19,D20,D21,D23,D24)</f>
        <v>146025550</v>
      </c>
    </row>
    <row r="26" spans="1:4">
      <c r="A26" s="58" t="s">
        <v>232</v>
      </c>
      <c r="B26" s="74"/>
      <c r="C26" s="74"/>
      <c r="D26" s="74"/>
    </row>
    <row r="27" spans="1:4">
      <c r="A27" s="61" t="s">
        <v>115</v>
      </c>
      <c r="B27" s="61"/>
    </row>
    <row r="28" spans="1:4" ht="45.6" customHeight="1">
      <c r="A28" s="62" t="s">
        <v>192</v>
      </c>
      <c r="B28" s="62"/>
      <c r="C28" s="55" t="s">
        <v>233</v>
      </c>
      <c r="D28" s="74"/>
    </row>
    <row r="29" spans="1:4" ht="34.15" customHeight="1">
      <c r="A29" s="62" t="s">
        <v>234</v>
      </c>
      <c r="B29" s="62"/>
      <c r="C29" s="55" t="s">
        <v>235</v>
      </c>
      <c r="D29" s="74"/>
    </row>
    <row r="31" spans="1:4">
      <c r="C31" s="17" t="s">
        <v>124</v>
      </c>
    </row>
    <row r="32" spans="1:4" ht="48" customHeight="1">
      <c r="A32" s="53" t="s">
        <v>125</v>
      </c>
      <c r="B32" s="53"/>
      <c r="C32" s="18" t="s">
        <v>126</v>
      </c>
    </row>
    <row r="35" spans="1:3" ht="48" customHeight="1">
      <c r="A35" s="53" t="s">
        <v>19</v>
      </c>
      <c r="B35" s="53"/>
      <c r="C35" s="18" t="s">
        <v>19</v>
      </c>
    </row>
  </sheetData>
  <mergeCells count="18">
    <mergeCell ref="A28:B28"/>
    <mergeCell ref="A29:B29"/>
    <mergeCell ref="A32:B32"/>
    <mergeCell ref="A35:B35"/>
    <mergeCell ref="A1:D1"/>
    <mergeCell ref="A25:C25"/>
    <mergeCell ref="B2:C2"/>
    <mergeCell ref="C29:D29"/>
    <mergeCell ref="A5:C5"/>
    <mergeCell ref="B3:C3"/>
    <mergeCell ref="B22:D22"/>
    <mergeCell ref="B8:D8"/>
    <mergeCell ref="A26:D26"/>
    <mergeCell ref="B18:D18"/>
    <mergeCell ref="B13:D13"/>
    <mergeCell ref="C28:D28"/>
    <mergeCell ref="B4:C4"/>
    <mergeCell ref="A27:B27"/>
  </mergeCells>
  <pageMargins left="0.75" right="0.75" top="1" bottom="1" header="0.5" footer="0.5"/>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F34D7-3CE5-459B-9133-785D9166C3C6}">
  <sheetPr>
    <pageSetUpPr fitToPage="1"/>
  </sheetPr>
  <dimension ref="A1:J52"/>
  <sheetViews>
    <sheetView showGridLines="0" workbookViewId="0">
      <selection activeCell="A43" sqref="A43"/>
    </sheetView>
  </sheetViews>
  <sheetFormatPr defaultColWidth="8.85546875" defaultRowHeight="11.45"/>
  <cols>
    <col min="1" max="1" width="14.28515625" style="26" customWidth="1"/>
    <col min="2" max="2" width="24.7109375" style="26" customWidth="1"/>
    <col min="3" max="3" width="22.7109375" style="26" customWidth="1"/>
    <col min="4" max="4" width="13.7109375" style="26" customWidth="1"/>
    <col min="5" max="5" width="40.7109375" style="26" customWidth="1"/>
    <col min="6" max="6" width="11.7109375" style="26" customWidth="1"/>
    <col min="7" max="9" width="15.7109375" style="26" customWidth="1"/>
    <col min="10" max="10" width="30.7109375" style="26" customWidth="1"/>
    <col min="11" max="16384" width="8.85546875" style="26"/>
  </cols>
  <sheetData>
    <row r="1" spans="1:10" ht="30" customHeight="1">
      <c r="A1" s="67" t="s">
        <v>236</v>
      </c>
      <c r="B1" s="67"/>
      <c r="C1" s="67"/>
      <c r="D1" s="67"/>
      <c r="E1" s="67"/>
      <c r="F1" s="67"/>
      <c r="G1" s="67"/>
      <c r="H1" s="67"/>
      <c r="I1" s="67"/>
      <c r="J1" s="67"/>
    </row>
    <row r="2" spans="1:10" ht="12">
      <c r="A2" s="27" t="s">
        <v>92</v>
      </c>
      <c r="B2" s="68" t="s">
        <v>93</v>
      </c>
      <c r="C2" s="68"/>
      <c r="D2" s="68"/>
      <c r="E2" s="68"/>
      <c r="F2" s="68"/>
      <c r="G2" s="68"/>
      <c r="H2" s="68"/>
      <c r="I2" s="68"/>
      <c r="J2" s="68"/>
    </row>
    <row r="3" spans="1:10" ht="12">
      <c r="A3" s="27" t="s">
        <v>94</v>
      </c>
      <c r="B3" s="68" t="s">
        <v>95</v>
      </c>
      <c r="C3" s="68"/>
      <c r="D3" s="68"/>
      <c r="E3" s="68"/>
      <c r="F3" s="68"/>
      <c r="G3" s="68"/>
      <c r="H3" s="68"/>
      <c r="I3" s="68"/>
      <c r="J3" s="68"/>
    </row>
    <row r="4" spans="1:10" ht="12">
      <c r="A4" s="27" t="s">
        <v>96</v>
      </c>
      <c r="B4" s="68" t="s">
        <v>19</v>
      </c>
      <c r="C4" s="68"/>
      <c r="D4" s="68"/>
      <c r="E4" s="68"/>
      <c r="F4" s="68"/>
      <c r="G4" s="68"/>
      <c r="H4" s="68"/>
      <c r="I4" s="68"/>
      <c r="J4" s="68"/>
    </row>
    <row r="5" spans="1:10" ht="12">
      <c r="A5" s="69" t="s">
        <v>237</v>
      </c>
      <c r="B5" s="69"/>
      <c r="C5" s="69"/>
      <c r="D5" s="28">
        <f>'Chi khác'!$D$5</f>
        <v>640000000</v>
      </c>
      <c r="E5" s="68" t="s">
        <v>238</v>
      </c>
      <c r="F5" s="68"/>
      <c r="G5" s="68"/>
      <c r="H5" s="68"/>
      <c r="I5" s="68"/>
      <c r="J5" s="68"/>
    </row>
    <row r="6" spans="1:10" ht="12">
      <c r="A6" s="69" t="s">
        <v>239</v>
      </c>
      <c r="B6" s="69"/>
      <c r="C6" s="69"/>
      <c r="D6" s="29">
        <v>7</v>
      </c>
      <c r="E6" s="68" t="s">
        <v>240</v>
      </c>
      <c r="F6" s="68"/>
      <c r="G6" s="68"/>
      <c r="H6" s="68"/>
      <c r="I6" s="68"/>
      <c r="J6" s="68"/>
    </row>
    <row r="8" spans="1:10" ht="12">
      <c r="A8" s="71" t="s">
        <v>241</v>
      </c>
      <c r="B8" s="71"/>
      <c r="C8" s="71"/>
      <c r="D8" s="71"/>
      <c r="E8" s="71"/>
      <c r="F8" s="71"/>
      <c r="G8" s="71"/>
      <c r="H8" s="71"/>
      <c r="I8" s="71"/>
      <c r="J8" s="71"/>
    </row>
    <row r="9" spans="1:10" ht="25.9" customHeight="1">
      <c r="A9" s="30" t="s">
        <v>98</v>
      </c>
      <c r="B9" s="30" t="s">
        <v>242</v>
      </c>
      <c r="C9" s="30" t="s">
        <v>243</v>
      </c>
      <c r="D9" s="30" t="s">
        <v>244</v>
      </c>
      <c r="E9" s="30" t="s">
        <v>245</v>
      </c>
      <c r="F9" s="30" t="s">
        <v>246</v>
      </c>
      <c r="G9" s="30" t="s">
        <v>131</v>
      </c>
      <c r="H9" s="30" t="s">
        <v>247</v>
      </c>
      <c r="I9" s="30" t="s">
        <v>248</v>
      </c>
      <c r="J9" s="30" t="s">
        <v>132</v>
      </c>
    </row>
    <row r="10" spans="1:10" ht="22.9">
      <c r="A10" s="31">
        <v>1</v>
      </c>
      <c r="B10" s="32" t="s">
        <v>249</v>
      </c>
      <c r="C10" s="32" t="s">
        <v>250</v>
      </c>
      <c r="D10" s="33">
        <v>46276</v>
      </c>
      <c r="E10" s="32" t="s">
        <v>251</v>
      </c>
      <c r="F10" s="34">
        <v>0.2</v>
      </c>
      <c r="G10" s="35">
        <f t="shared" ref="G10:G15" si="0">ROUND($D$5*F10,0)</f>
        <v>128000000</v>
      </c>
      <c r="H10" s="39">
        <f t="shared" ref="H10:H15" si="1">WORKDAY(D10,$D$6)</f>
        <v>46287</v>
      </c>
      <c r="I10" s="35">
        <f>SUM($G$10:G10)</f>
        <v>128000000</v>
      </c>
      <c r="J10" s="32" t="s">
        <v>252</v>
      </c>
    </row>
    <row r="11" spans="1:10" ht="22.9">
      <c r="A11" s="31">
        <v>2</v>
      </c>
      <c r="B11" s="32" t="s">
        <v>253</v>
      </c>
      <c r="C11" s="32" t="s">
        <v>254</v>
      </c>
      <c r="D11" s="33">
        <v>46304</v>
      </c>
      <c r="E11" s="32" t="s">
        <v>255</v>
      </c>
      <c r="F11" s="34">
        <v>0.15</v>
      </c>
      <c r="G11" s="35">
        <f t="shared" si="0"/>
        <v>96000000</v>
      </c>
      <c r="H11" s="39">
        <f t="shared" si="1"/>
        <v>46315</v>
      </c>
      <c r="I11" s="35">
        <f>SUM($G$10:G11)</f>
        <v>224000000</v>
      </c>
      <c r="J11" s="32" t="s">
        <v>256</v>
      </c>
    </row>
    <row r="12" spans="1:10">
      <c r="A12" s="31">
        <v>3</v>
      </c>
      <c r="B12" s="32" t="s">
        <v>257</v>
      </c>
      <c r="C12" s="32" t="s">
        <v>258</v>
      </c>
      <c r="D12" s="33">
        <v>46360</v>
      </c>
      <c r="E12" s="32" t="s">
        <v>259</v>
      </c>
      <c r="F12" s="34">
        <v>0.15</v>
      </c>
      <c r="G12" s="35">
        <f t="shared" si="0"/>
        <v>96000000</v>
      </c>
      <c r="H12" s="39">
        <f t="shared" si="1"/>
        <v>46371</v>
      </c>
      <c r="I12" s="35">
        <f>SUM($G$10:G12)</f>
        <v>320000000</v>
      </c>
      <c r="J12" s="32" t="s">
        <v>260</v>
      </c>
    </row>
    <row r="13" spans="1:10" ht="22.9">
      <c r="A13" s="31">
        <v>4</v>
      </c>
      <c r="B13" s="32" t="s">
        <v>261</v>
      </c>
      <c r="C13" s="32" t="s">
        <v>262</v>
      </c>
      <c r="D13" s="33">
        <v>46381</v>
      </c>
      <c r="E13" s="32" t="s">
        <v>263</v>
      </c>
      <c r="F13" s="34">
        <v>0.25</v>
      </c>
      <c r="G13" s="35">
        <f t="shared" si="0"/>
        <v>160000000</v>
      </c>
      <c r="H13" s="39">
        <f t="shared" si="1"/>
        <v>46392</v>
      </c>
      <c r="I13" s="35">
        <f>SUM($G$10:G13)</f>
        <v>480000000</v>
      </c>
      <c r="J13" s="32" t="s">
        <v>264</v>
      </c>
    </row>
    <row r="14" spans="1:10" ht="22.9">
      <c r="A14" s="31">
        <v>5</v>
      </c>
      <c r="B14" s="32" t="s">
        <v>265</v>
      </c>
      <c r="C14" s="32" t="s">
        <v>266</v>
      </c>
      <c r="D14" s="33">
        <v>46430</v>
      </c>
      <c r="E14" s="32" t="s">
        <v>267</v>
      </c>
      <c r="F14" s="34">
        <v>0.2</v>
      </c>
      <c r="G14" s="35">
        <f t="shared" si="0"/>
        <v>128000000</v>
      </c>
      <c r="H14" s="39">
        <f t="shared" si="1"/>
        <v>46441</v>
      </c>
      <c r="I14" s="35">
        <f>SUM($G$10:G14)</f>
        <v>608000000</v>
      </c>
      <c r="J14" s="32" t="s">
        <v>268</v>
      </c>
    </row>
    <row r="15" spans="1:10" ht="22.9">
      <c r="A15" s="31">
        <v>6</v>
      </c>
      <c r="B15" s="32" t="s">
        <v>269</v>
      </c>
      <c r="C15" s="32" t="s">
        <v>270</v>
      </c>
      <c r="D15" s="33">
        <v>46444</v>
      </c>
      <c r="E15" s="32" t="s">
        <v>271</v>
      </c>
      <c r="F15" s="34">
        <v>0.05</v>
      </c>
      <c r="G15" s="35">
        <f t="shared" si="0"/>
        <v>32000000</v>
      </c>
      <c r="H15" s="39">
        <f t="shared" si="1"/>
        <v>46455</v>
      </c>
      <c r="I15" s="35">
        <f>SUM($G$10:G15)</f>
        <v>640000000</v>
      </c>
      <c r="J15" s="32" t="s">
        <v>272</v>
      </c>
    </row>
    <row r="16" spans="1:10" ht="13.15">
      <c r="A16" s="72" t="s">
        <v>108</v>
      </c>
      <c r="B16" s="72"/>
      <c r="C16" s="72"/>
      <c r="D16" s="72"/>
      <c r="E16" s="72"/>
      <c r="F16" s="36">
        <f>SUM(F10:F15)</f>
        <v>1</v>
      </c>
      <c r="G16" s="37">
        <f>SUM(G10:G15)</f>
        <v>640000000</v>
      </c>
      <c r="H16" s="37"/>
      <c r="I16" s="37"/>
      <c r="J16" s="38" t="str">
        <f>IF(ROUND(F16,6)=1,"Đủ 100% giá trị hợp đồng","Tổng tỷ lệ phải bằng 100%")</f>
        <v>Đủ 100% giá trị hợp đồng</v>
      </c>
    </row>
    <row r="18" spans="1:10" ht="12">
      <c r="A18" s="71" t="s">
        <v>273</v>
      </c>
      <c r="B18" s="71"/>
      <c r="C18" s="71"/>
      <c r="D18" s="71"/>
      <c r="E18" s="71"/>
      <c r="F18" s="71"/>
      <c r="G18" s="71"/>
      <c r="H18" s="71"/>
      <c r="I18" s="71"/>
      <c r="J18" s="71"/>
    </row>
    <row r="19" spans="1:10" ht="25.9" customHeight="1">
      <c r="A19" s="30" t="s">
        <v>274</v>
      </c>
      <c r="B19" s="30" t="s">
        <v>275</v>
      </c>
      <c r="C19" s="30" t="s">
        <v>276</v>
      </c>
      <c r="D19" s="30" t="s">
        <v>277</v>
      </c>
      <c r="E19" s="30" t="s">
        <v>278</v>
      </c>
      <c r="F19" s="30" t="s">
        <v>279</v>
      </c>
      <c r="G19" s="30" t="s">
        <v>280</v>
      </c>
      <c r="H19" s="30" t="s">
        <v>281</v>
      </c>
      <c r="I19" s="30" t="s">
        <v>248</v>
      </c>
      <c r="J19" s="30" t="s">
        <v>282</v>
      </c>
    </row>
    <row r="20" spans="1:10">
      <c r="A20" s="31" t="s">
        <v>283</v>
      </c>
      <c r="B20" s="39">
        <f>EOMONTH(DATE(2026,9,1),0)</f>
        <v>46295</v>
      </c>
      <c r="C20" s="40">
        <v>45360707</v>
      </c>
      <c r="D20" s="40">
        <v>1000000</v>
      </c>
      <c r="E20" s="40">
        <v>6666667</v>
      </c>
      <c r="F20" s="41">
        <f t="shared" ref="F20:F26" si="2">SUM(C20:E20)</f>
        <v>53027374</v>
      </c>
      <c r="G20" s="41">
        <f>SUM($F$20:F20)</f>
        <v>53027374</v>
      </c>
      <c r="H20" s="41">
        <f t="shared" ref="H20:H26" si="3">SUMIFS($G$10:$G$15,$H$10:$H$15,"&gt;"&amp;EOMONTH(B20,-1),$H$10:$H$15,"&lt;="&amp;B20)</f>
        <v>128000000</v>
      </c>
      <c r="I20" s="41">
        <f>SUM($H$20:H20)</f>
        <v>128000000</v>
      </c>
      <c r="J20" s="41">
        <f t="shared" ref="J20:J26" si="4">I20-G20</f>
        <v>74972626</v>
      </c>
    </row>
    <row r="21" spans="1:10">
      <c r="A21" s="31" t="s">
        <v>284</v>
      </c>
      <c r="B21" s="39">
        <f t="shared" ref="B21:B26" si="5">EOMONTH(B20,1)</f>
        <v>46326</v>
      </c>
      <c r="C21" s="40">
        <v>69979884</v>
      </c>
      <c r="D21" s="40">
        <v>4050000</v>
      </c>
      <c r="E21" s="40">
        <v>9006667</v>
      </c>
      <c r="F21" s="41">
        <f t="shared" si="2"/>
        <v>83036551</v>
      </c>
      <c r="G21" s="41">
        <f>SUM($F$20:F21)</f>
        <v>136063925</v>
      </c>
      <c r="H21" s="41">
        <f t="shared" si="3"/>
        <v>96000000</v>
      </c>
      <c r="I21" s="41">
        <f>SUM($H$20:H21)</f>
        <v>224000000</v>
      </c>
      <c r="J21" s="41">
        <f t="shared" si="4"/>
        <v>87936075</v>
      </c>
    </row>
    <row r="22" spans="1:10">
      <c r="A22" s="31" t="s">
        <v>285</v>
      </c>
      <c r="B22" s="39">
        <f t="shared" si="5"/>
        <v>46356</v>
      </c>
      <c r="C22" s="40">
        <v>48240986</v>
      </c>
      <c r="D22" s="40">
        <v>4050000</v>
      </c>
      <c r="E22" s="40">
        <v>17326667</v>
      </c>
      <c r="F22" s="41">
        <f t="shared" si="2"/>
        <v>69617653</v>
      </c>
      <c r="G22" s="41">
        <f>SUM($F$20:F22)</f>
        <v>205681578</v>
      </c>
      <c r="H22" s="41">
        <f t="shared" si="3"/>
        <v>0</v>
      </c>
      <c r="I22" s="41">
        <f>SUM($H$20:H22)</f>
        <v>224000000</v>
      </c>
      <c r="J22" s="41">
        <f t="shared" si="4"/>
        <v>18318422</v>
      </c>
    </row>
    <row r="23" spans="1:10">
      <c r="A23" s="31" t="s">
        <v>286</v>
      </c>
      <c r="B23" s="39">
        <f t="shared" si="5"/>
        <v>46387</v>
      </c>
      <c r="C23" s="40">
        <v>78835681</v>
      </c>
      <c r="D23" s="40">
        <v>11850000</v>
      </c>
      <c r="E23" s="40">
        <v>10666667</v>
      </c>
      <c r="F23" s="41">
        <f t="shared" si="2"/>
        <v>101352348</v>
      </c>
      <c r="G23" s="41">
        <f>SUM($F$20:F23)</f>
        <v>307033926</v>
      </c>
      <c r="H23" s="41">
        <f t="shared" si="3"/>
        <v>96000000</v>
      </c>
      <c r="I23" s="41">
        <f>SUM($H$20:H23)</f>
        <v>320000000</v>
      </c>
      <c r="J23" s="41">
        <f t="shared" si="4"/>
        <v>12966074</v>
      </c>
    </row>
    <row r="24" spans="1:10">
      <c r="A24" s="31" t="s">
        <v>287</v>
      </c>
      <c r="B24" s="39">
        <f t="shared" si="5"/>
        <v>46418</v>
      </c>
      <c r="C24" s="40">
        <v>98538614</v>
      </c>
      <c r="D24" s="40">
        <v>16350000</v>
      </c>
      <c r="E24" s="40">
        <v>9291667</v>
      </c>
      <c r="F24" s="41">
        <f t="shared" si="2"/>
        <v>124180281</v>
      </c>
      <c r="G24" s="41">
        <f>SUM($F$20:F24)</f>
        <v>431214207</v>
      </c>
      <c r="H24" s="41">
        <f t="shared" si="3"/>
        <v>160000000</v>
      </c>
      <c r="I24" s="41">
        <f>SUM($H$20:H24)</f>
        <v>480000000</v>
      </c>
      <c r="J24" s="41">
        <f t="shared" si="4"/>
        <v>48785793</v>
      </c>
    </row>
    <row r="25" spans="1:10">
      <c r="A25" s="31" t="s">
        <v>288</v>
      </c>
      <c r="B25" s="39">
        <f t="shared" si="5"/>
        <v>46446</v>
      </c>
      <c r="C25" s="40">
        <v>107018578</v>
      </c>
      <c r="D25" s="40">
        <v>8700000</v>
      </c>
      <c r="E25" s="40">
        <v>36041665</v>
      </c>
      <c r="F25" s="41">
        <f t="shared" si="2"/>
        <v>151760243</v>
      </c>
      <c r="G25" s="41">
        <f>SUM($F$20:F25)</f>
        <v>582974450</v>
      </c>
      <c r="H25" s="41">
        <f t="shared" si="3"/>
        <v>128000000</v>
      </c>
      <c r="I25" s="41">
        <f>SUM($H$20:H25)</f>
        <v>608000000</v>
      </c>
      <c r="J25" s="41">
        <f t="shared" si="4"/>
        <v>25025550</v>
      </c>
    </row>
    <row r="26" spans="1:10">
      <c r="A26" s="31" t="s">
        <v>289</v>
      </c>
      <c r="B26" s="39">
        <f t="shared" si="5"/>
        <v>46477</v>
      </c>
      <c r="C26" s="40">
        <v>0</v>
      </c>
      <c r="D26" s="40">
        <v>0</v>
      </c>
      <c r="E26" s="40">
        <v>0</v>
      </c>
      <c r="F26" s="41">
        <f t="shared" si="2"/>
        <v>0</v>
      </c>
      <c r="G26" s="41">
        <f>SUM($F$20:F26)</f>
        <v>582974450</v>
      </c>
      <c r="H26" s="41">
        <f t="shared" si="3"/>
        <v>32000000</v>
      </c>
      <c r="I26" s="41">
        <f>SUM($H$20:H26)</f>
        <v>640000000</v>
      </c>
      <c r="J26" s="41">
        <f t="shared" si="4"/>
        <v>57025550</v>
      </c>
    </row>
    <row r="27" spans="1:10" ht="13.15">
      <c r="A27" s="72" t="s">
        <v>108</v>
      </c>
      <c r="B27" s="72"/>
      <c r="C27" s="42">
        <f>SUM(C20:C26)</f>
        <v>447974450</v>
      </c>
      <c r="D27" s="42">
        <f>SUM(D20:D26)</f>
        <v>46000000</v>
      </c>
      <c r="E27" s="42">
        <f>SUM(E20:E26)</f>
        <v>89000000</v>
      </c>
      <c r="F27" s="42">
        <f>SUM(F20:F26)</f>
        <v>582974450</v>
      </c>
      <c r="G27" s="42">
        <f>G26</f>
        <v>582974450</v>
      </c>
      <c r="H27" s="42">
        <f>SUM(H20:H26)</f>
        <v>640000000</v>
      </c>
      <c r="I27" s="42">
        <f>I26</f>
        <v>640000000</v>
      </c>
      <c r="J27" s="42">
        <f>J26</f>
        <v>57025550</v>
      </c>
    </row>
    <row r="29" spans="1:10" ht="12">
      <c r="A29" s="71" t="s">
        <v>290</v>
      </c>
      <c r="B29" s="71"/>
      <c r="C29" s="71"/>
      <c r="D29" s="71"/>
      <c r="E29" s="71"/>
      <c r="F29" s="71"/>
      <c r="G29" s="71"/>
      <c r="H29" s="71"/>
      <c r="I29" s="71"/>
      <c r="J29" s="71"/>
    </row>
    <row r="30" spans="1:10" ht="12">
      <c r="A30" s="43" t="s">
        <v>98</v>
      </c>
      <c r="B30" s="73" t="s">
        <v>141</v>
      </c>
      <c r="C30" s="73"/>
      <c r="D30" s="73"/>
      <c r="E30" s="73"/>
      <c r="F30" s="43" t="s">
        <v>142</v>
      </c>
      <c r="G30" s="73" t="s">
        <v>132</v>
      </c>
      <c r="H30" s="73"/>
      <c r="I30" s="73"/>
      <c r="J30" s="73"/>
    </row>
    <row r="31" spans="1:10">
      <c r="A31" s="31">
        <v>1</v>
      </c>
      <c r="B31" s="70" t="s">
        <v>291</v>
      </c>
      <c r="C31" s="70"/>
      <c r="D31" s="70"/>
      <c r="E31" s="70"/>
      <c r="F31" s="44">
        <f>C27-CongLaoDong!$G$13</f>
        <v>0</v>
      </c>
      <c r="G31" s="70" t="s">
        <v>292</v>
      </c>
      <c r="H31" s="70"/>
      <c r="I31" s="70"/>
      <c r="J31" s="70"/>
    </row>
    <row r="32" spans="1:10">
      <c r="A32" s="31">
        <v>2</v>
      </c>
      <c r="B32" s="70" t="s">
        <v>293</v>
      </c>
      <c r="C32" s="70"/>
      <c r="D32" s="70"/>
      <c r="E32" s="70"/>
      <c r="F32" s="44">
        <f>D27-'Thiết bị vật tư'!$F$21</f>
        <v>0</v>
      </c>
      <c r="G32" s="70" t="s">
        <v>292</v>
      </c>
      <c r="H32" s="70"/>
      <c r="I32" s="70"/>
      <c r="J32" s="70"/>
    </row>
    <row r="33" spans="1:10">
      <c r="A33" s="31">
        <v>3</v>
      </c>
      <c r="B33" s="70" t="s">
        <v>294</v>
      </c>
      <c r="C33" s="70"/>
      <c r="D33" s="70"/>
      <c r="E33" s="70"/>
      <c r="F33" s="44">
        <f>E27-('Chi khác'!$D$25-'Chi khác'!$D$24)</f>
        <v>0</v>
      </c>
      <c r="G33" s="70" t="s">
        <v>292</v>
      </c>
      <c r="H33" s="70"/>
      <c r="I33" s="70"/>
      <c r="J33" s="70"/>
    </row>
    <row r="34" spans="1:10">
      <c r="A34" s="31">
        <v>4</v>
      </c>
      <c r="B34" s="70" t="s">
        <v>295</v>
      </c>
      <c r="C34" s="70"/>
      <c r="D34" s="70"/>
      <c r="E34" s="70"/>
      <c r="F34" s="44">
        <f>H27-$D$5</f>
        <v>0</v>
      </c>
      <c r="G34" s="70" t="s">
        <v>292</v>
      </c>
      <c r="H34" s="70"/>
      <c r="I34" s="70"/>
      <c r="J34" s="70"/>
    </row>
    <row r="35" spans="1:10">
      <c r="A35" s="31">
        <v>5</v>
      </c>
      <c r="B35" s="70" t="s">
        <v>296</v>
      </c>
      <c r="C35" s="70"/>
      <c r="D35" s="70"/>
      <c r="E35" s="70"/>
      <c r="F35" s="44">
        <f>J26-'Chi khác'!$D$24</f>
        <v>0</v>
      </c>
      <c r="G35" s="70" t="s">
        <v>297</v>
      </c>
      <c r="H35" s="70"/>
      <c r="I35" s="70"/>
      <c r="J35" s="70"/>
    </row>
    <row r="36" spans="1:10">
      <c r="A36" s="31">
        <v>6</v>
      </c>
      <c r="B36" s="70" t="s">
        <v>298</v>
      </c>
      <c r="C36" s="70"/>
      <c r="D36" s="70"/>
      <c r="E36" s="70"/>
      <c r="F36" s="41">
        <f>COUNTIF(J20:J26,"&lt;0")</f>
        <v>0</v>
      </c>
      <c r="G36" s="70" t="s">
        <v>299</v>
      </c>
      <c r="H36" s="70"/>
      <c r="I36" s="70"/>
      <c r="J36" s="70"/>
    </row>
    <row r="37" spans="1:10">
      <c r="A37" s="31">
        <v>7</v>
      </c>
      <c r="B37" s="70" t="s">
        <v>300</v>
      </c>
      <c r="C37" s="70"/>
      <c r="D37" s="70"/>
      <c r="E37" s="70"/>
      <c r="F37" s="41">
        <f>MIN(J20:J26)</f>
        <v>12966074</v>
      </c>
      <c r="G37" s="70" t="s">
        <v>301</v>
      </c>
      <c r="H37" s="70"/>
      <c r="I37" s="70"/>
      <c r="J37" s="70"/>
    </row>
    <row r="39" spans="1:10" ht="12">
      <c r="A39" s="27" t="s">
        <v>115</v>
      </c>
    </row>
    <row r="40" spans="1:10">
      <c r="A40" s="45" t="s">
        <v>302</v>
      </c>
      <c r="B40" s="68" t="s">
        <v>303</v>
      </c>
      <c r="C40" s="68"/>
      <c r="D40" s="68"/>
      <c r="E40" s="68"/>
      <c r="F40" s="68"/>
      <c r="G40" s="68"/>
      <c r="H40" s="68"/>
      <c r="I40" s="68"/>
      <c r="J40" s="68"/>
    </row>
    <row r="41" spans="1:10">
      <c r="A41" s="45" t="s">
        <v>304</v>
      </c>
      <c r="B41" s="68" t="s">
        <v>305</v>
      </c>
      <c r="C41" s="68"/>
      <c r="D41" s="68"/>
      <c r="E41" s="68"/>
      <c r="F41" s="68"/>
      <c r="G41" s="68"/>
      <c r="H41" s="68"/>
      <c r="I41" s="68"/>
      <c r="J41" s="68"/>
    </row>
    <row r="42" spans="1:10">
      <c r="A42" s="45" t="s">
        <v>306</v>
      </c>
      <c r="B42" s="68" t="s">
        <v>307</v>
      </c>
      <c r="C42" s="68"/>
      <c r="D42" s="68"/>
      <c r="E42" s="68"/>
      <c r="F42" s="68"/>
      <c r="G42" s="68"/>
      <c r="H42" s="68"/>
      <c r="I42" s="68"/>
      <c r="J42" s="68"/>
    </row>
    <row r="43" spans="1:10" ht="36" customHeight="1">
      <c r="A43" s="45" t="s">
        <v>308</v>
      </c>
      <c r="B43" s="68" t="s">
        <v>309</v>
      </c>
      <c r="C43" s="68"/>
      <c r="D43" s="68"/>
      <c r="E43" s="68"/>
      <c r="F43" s="68"/>
      <c r="G43" s="68"/>
      <c r="H43" s="68"/>
      <c r="I43" s="68"/>
      <c r="J43" s="68"/>
    </row>
    <row r="44" spans="1:10" ht="22.9">
      <c r="A44" s="45" t="s">
        <v>310</v>
      </c>
      <c r="B44" s="68" t="s">
        <v>311</v>
      </c>
      <c r="C44" s="68"/>
      <c r="D44" s="68"/>
      <c r="E44" s="68"/>
      <c r="F44" s="68"/>
      <c r="G44" s="68"/>
      <c r="H44" s="68"/>
      <c r="I44" s="68"/>
      <c r="J44" s="68"/>
    </row>
    <row r="45" spans="1:10" ht="22.9">
      <c r="A45" s="45" t="s">
        <v>312</v>
      </c>
      <c r="B45" s="68" t="s">
        <v>313</v>
      </c>
      <c r="C45" s="68"/>
      <c r="D45" s="68"/>
      <c r="E45" s="68"/>
      <c r="F45" s="68"/>
      <c r="G45" s="68"/>
      <c r="H45" s="68"/>
      <c r="I45" s="68"/>
      <c r="J45" s="68"/>
    </row>
    <row r="47" spans="1:10">
      <c r="G47" s="26" t="s">
        <v>124</v>
      </c>
    </row>
    <row r="48" spans="1:10" ht="12">
      <c r="C48" s="27" t="s">
        <v>125</v>
      </c>
      <c r="H48" s="27" t="s">
        <v>126</v>
      </c>
    </row>
    <row r="52" spans="3:8" ht="12">
      <c r="C52" s="27" t="s">
        <v>19</v>
      </c>
      <c r="H52" s="27" t="s">
        <v>19</v>
      </c>
    </row>
  </sheetData>
  <mergeCells count="35">
    <mergeCell ref="B41:J41"/>
    <mergeCell ref="B42:J42"/>
    <mergeCell ref="B43:J43"/>
    <mergeCell ref="B44:J44"/>
    <mergeCell ref="B45:J45"/>
    <mergeCell ref="B40:J40"/>
    <mergeCell ref="B33:E33"/>
    <mergeCell ref="G33:J33"/>
    <mergeCell ref="B34:E34"/>
    <mergeCell ref="G34:J34"/>
    <mergeCell ref="B35:E35"/>
    <mergeCell ref="G35:J35"/>
    <mergeCell ref="B36:E36"/>
    <mergeCell ref="G36:J36"/>
    <mergeCell ref="B37:E37"/>
    <mergeCell ref="G37:J37"/>
    <mergeCell ref="B32:E32"/>
    <mergeCell ref="G32:J32"/>
    <mergeCell ref="A6:C6"/>
    <mergeCell ref="E6:J6"/>
    <mergeCell ref="A8:J8"/>
    <mergeCell ref="A16:E16"/>
    <mergeCell ref="A18:J18"/>
    <mergeCell ref="A27:B27"/>
    <mergeCell ref="A29:J29"/>
    <mergeCell ref="B30:E30"/>
    <mergeCell ref="G30:J30"/>
    <mergeCell ref="B31:E31"/>
    <mergeCell ref="G31:J31"/>
    <mergeCell ref="A1:J1"/>
    <mergeCell ref="B2:J2"/>
    <mergeCell ref="B3:J3"/>
    <mergeCell ref="B4:J4"/>
    <mergeCell ref="A5:C5"/>
    <mergeCell ref="E5:J5"/>
  </mergeCells>
  <conditionalFormatting sqref="J20:J26">
    <cfRule type="cellIs" dxfId="0" priority="1" stopIfTrue="1" operator="lessThan">
      <formula>0</formula>
    </cfRule>
  </conditionalFormatting>
  <pageMargins left="0.7" right="0.7" top="0.75" bottom="0.75" header="0.3" footer="0.3"/>
  <pageSetup fitToHeight="0" orientation="landscape"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ab11da6-c5b9-49cb-ad83-ae21ec205006">
      <Terms xmlns="http://schemas.microsoft.com/office/infopath/2007/PartnerControls"/>
    </lcf76f155ced4ddcb4097134ff3c332f>
    <TaxCatchAll xmlns="8620256f-1d2f-43d2-8d17-c8c02a12484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7BB4CB8C644074DA8C0D9544B46C45A" ma:contentTypeVersion="10" ma:contentTypeDescription="Create a new document." ma:contentTypeScope="" ma:versionID="6cd6a6fc9d500661ae2c712001574a63">
  <xsd:schema xmlns:xsd="http://www.w3.org/2001/XMLSchema" xmlns:xs="http://www.w3.org/2001/XMLSchema" xmlns:p="http://schemas.microsoft.com/office/2006/metadata/properties" xmlns:ns2="6ab11da6-c5b9-49cb-ad83-ae21ec205006" xmlns:ns3="8620256f-1d2f-43d2-8d17-c8c02a124848" targetNamespace="http://schemas.microsoft.com/office/2006/metadata/properties" ma:root="true" ma:fieldsID="5a8690fc04d69f1d5e321c6403e17232" ns2:_="" ns3:_="">
    <xsd:import namespace="6ab11da6-c5b9-49cb-ad83-ae21ec205006"/>
    <xsd:import namespace="8620256f-1d2f-43d2-8d17-c8c02a12484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b11da6-c5b9-49cb-ad83-ae21ec2050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46fe6cf-c6c6-432e-bc3b-e1a865b2857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620256f-1d2f-43d2-8d17-c8c02a12484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c5c2c83-07ff-4f8e-b7a6-caccdf7c6711}" ma:internalName="TaxCatchAll" ma:showField="CatchAllData" ma:web="8620256f-1d2f-43d2-8d17-c8c02a1248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737F16-C11A-4D5F-AFB9-0E5C9DCDE642}"/>
</file>

<file path=customXml/itemProps2.xml><?xml version="1.0" encoding="utf-8"?>
<ds:datastoreItem xmlns:ds="http://schemas.openxmlformats.org/officeDocument/2006/customXml" ds:itemID="{CABB8DB5-6A2B-4646-B207-D163EE3893C3}"/>
</file>

<file path=customXml/itemProps3.xml><?xml version="1.0" encoding="utf-8"?>
<ds:datastoreItem xmlns:ds="http://schemas.openxmlformats.org/officeDocument/2006/customXml" ds:itemID="{DB4BAE73-1A42-4A0F-A3B6-142398FC37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i:0#.f|membership|duy.dd2490037@sis.hust.edu.vn</cp:lastModifiedBy>
  <cp:revision/>
  <dcterms:created xsi:type="dcterms:W3CDTF">2026-09-12T05:56:21Z</dcterms:created>
  <dcterms:modified xsi:type="dcterms:W3CDTF">2026-09-19T08:15:29Z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0x01010007BB4CB8C644074DA8C0D9544B46C45A</vt:lpwstr>
  </property>
  <property fmtid="{D5CDD505-2E9C-101B-9397-08002B2CF9AE}" pid="3" name="MediaServiceImageTags">
    <vt:lpwstr/>
  </property>
</Properties>
</file>