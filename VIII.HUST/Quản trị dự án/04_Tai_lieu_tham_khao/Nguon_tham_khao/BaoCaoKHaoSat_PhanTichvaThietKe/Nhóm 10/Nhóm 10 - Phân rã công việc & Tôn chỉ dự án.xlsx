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husteduvn-my.sharepoint.com/personal/thanh_tt239253_sis_hust_edu_vn/Documents/S3-IT PROJECT MANAGEMENT/01. Group assignment/"/>
    </mc:Choice>
  </mc:AlternateContent>
  <xr:revisionPtr revIDLastSave="57" documentId="11_54A7044C91BC3E96995C800AC2958F6C79310D73" xr6:coauthVersionLast="47" xr6:coauthVersionMax="47" xr10:uidLastSave="{34416728-F028-477E-A799-708DDDBDFAC3}"/>
  <bookViews>
    <workbookView xWindow="-98" yWindow="-98" windowWidth="23236" windowHeight="13875" xr2:uid="{00000000-000D-0000-FFFF-FFFF00000000}"/>
  </bookViews>
  <sheets>
    <sheet name="PHÂN RÃ CÔNG VIỆC" sheetId="1" r:id="rId1"/>
    <sheet name="TÔN CHỈ DỰ Á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 r="G73" i="1"/>
  <c r="I73" i="1" s="1"/>
  <c r="G72" i="1"/>
  <c r="I72" i="1" s="1"/>
  <c r="G71" i="1"/>
  <c r="I71" i="1" s="1"/>
  <c r="G70" i="1"/>
  <c r="I70" i="1" s="1"/>
  <c r="G69" i="1"/>
  <c r="I69" i="1" s="1"/>
  <c r="G67" i="1"/>
  <c r="I67" i="1" s="1"/>
  <c r="G66" i="1"/>
  <c r="I66" i="1" s="1"/>
  <c r="G65" i="1"/>
  <c r="I65" i="1" s="1"/>
  <c r="G64" i="1"/>
  <c r="I64" i="1" s="1"/>
  <c r="G61" i="1"/>
  <c r="I61" i="1" s="1"/>
  <c r="G60" i="1"/>
  <c r="I60" i="1" s="1"/>
  <c r="G59" i="1"/>
  <c r="I59" i="1" s="1"/>
  <c r="G58" i="1"/>
  <c r="I58" i="1" s="1"/>
  <c r="G57" i="1"/>
  <c r="I57" i="1" s="1"/>
  <c r="G56" i="1"/>
  <c r="I56" i="1" s="1"/>
  <c r="G55" i="1"/>
  <c r="I55" i="1" s="1"/>
  <c r="G54" i="1"/>
  <c r="I54" i="1" s="1"/>
  <c r="G52" i="1"/>
  <c r="I52" i="1" s="1"/>
  <c r="G51" i="1"/>
  <c r="I51" i="1" s="1"/>
  <c r="G50" i="1"/>
  <c r="I50" i="1" s="1"/>
  <c r="G49" i="1"/>
  <c r="I49" i="1" s="1"/>
  <c r="G47" i="1"/>
  <c r="I47" i="1" s="1"/>
  <c r="G46" i="1"/>
  <c r="I46" i="1" s="1"/>
  <c r="G45" i="1"/>
  <c r="I45" i="1" s="1"/>
  <c r="G44" i="1"/>
  <c r="I44" i="1" s="1"/>
  <c r="G42" i="1"/>
  <c r="I42" i="1" s="1"/>
  <c r="G41" i="1"/>
  <c r="I41" i="1" s="1"/>
  <c r="G40" i="1"/>
  <c r="I40" i="1" s="1"/>
  <c r="G39" i="1"/>
  <c r="I39" i="1" s="1"/>
  <c r="G38" i="1"/>
  <c r="I38" i="1" s="1"/>
  <c r="G37" i="1"/>
  <c r="I37" i="1" s="1"/>
  <c r="G35" i="1"/>
  <c r="I35" i="1" s="1"/>
  <c r="G34" i="1"/>
  <c r="I34" i="1" s="1"/>
  <c r="G33" i="1"/>
  <c r="I33" i="1" s="1"/>
  <c r="G32" i="1"/>
  <c r="I32" i="1" s="1"/>
  <c r="G31" i="1"/>
  <c r="I31" i="1" s="1"/>
  <c r="G30" i="1"/>
  <c r="I30" i="1" s="1"/>
  <c r="G28" i="1"/>
  <c r="I28" i="1" s="1"/>
  <c r="G27" i="1"/>
  <c r="I27" i="1" s="1"/>
  <c r="G26" i="1"/>
  <c r="I26" i="1" s="1"/>
  <c r="G25" i="1"/>
  <c r="I25" i="1" s="1"/>
  <c r="G24" i="1"/>
  <c r="I24" i="1" s="1"/>
  <c r="G23" i="1"/>
  <c r="I23" i="1" s="1"/>
  <c r="G22" i="1"/>
  <c r="I22" i="1" s="1"/>
  <c r="G20" i="1"/>
  <c r="I20" i="1" s="1"/>
  <c r="G19" i="1"/>
  <c r="I19" i="1" s="1"/>
  <c r="G18" i="1"/>
  <c r="I18" i="1" s="1"/>
  <c r="G16" i="1"/>
  <c r="I16" i="1" s="1"/>
  <c r="G15" i="1"/>
  <c r="I15" i="1" s="1"/>
  <c r="G13" i="1"/>
  <c r="I13" i="1" s="1"/>
  <c r="G12" i="1"/>
  <c r="I12" i="1" s="1"/>
  <c r="G11" i="1"/>
  <c r="I11" i="1" s="1"/>
  <c r="G10" i="1"/>
  <c r="I10" i="1" s="1"/>
  <c r="G9" i="1"/>
  <c r="I9" i="1" s="1"/>
  <c r="G8" i="1"/>
  <c r="I8" i="1" s="1"/>
  <c r="I74" i="1" l="1"/>
  <c r="G74" i="1"/>
</calcChain>
</file>

<file path=xl/sharedStrings.xml><?xml version="1.0" encoding="utf-8"?>
<sst xmlns="http://schemas.openxmlformats.org/spreadsheetml/2006/main" count="369" uniqueCount="296">
  <si>
    <t xml:space="preserve">Nhóm 10 </t>
  </si>
  <si>
    <t>BẢNG PHÂN TÁCH CÔNG VIỆC (WORK BREAKDOWN STRUCTURE - WBS)</t>
  </si>
  <si>
    <t>Quản lý dự án: Xây dựng hệ thống quản lý và kết nối dữ liệu dự án xây dựng</t>
  </si>
  <si>
    <t>STT</t>
  </si>
  <si>
    <t>Tên công việc / Hạng mục</t>
  </si>
  <si>
    <t>Mô tả công việc cụ thể</t>
  </si>
  <si>
    <t>Thời gian ước lượng (PERT)</t>
  </si>
  <si>
    <t>Tăng thêm</t>
  </si>
  <si>
    <t>EST chốt</t>
  </si>
  <si>
    <t>Người thực hiện</t>
  </si>
  <si>
    <t>Công việc tiên quyết (Predecessors)</t>
  </si>
  <si>
    <t>MO</t>
  </si>
  <si>
    <t>ML</t>
  </si>
  <si>
    <t>MP</t>
  </si>
  <si>
    <t>EST</t>
  </si>
  <si>
    <t>I</t>
  </si>
  <si>
    <t>Khảo sát yêu cầu</t>
  </si>
  <si>
    <t>Khảo sát quy trình quản lý dự án xây dựng và thu thập yêu cầu người dùng</t>
  </si>
  <si>
    <t>Trần Tiến Thạnh, Nguyễn Quốc Hội</t>
  </si>
  <si>
    <t>Khảo sát hiện trạng</t>
  </si>
  <si>
    <t>Khảo sát thực tế luồng quản lý mô hình BIM, bản vẽ, hồ sơ pháp lý, tiến độ và biểu mẫu (RFI, Submittal, nghiệm thu) tại các bên liên quan.</t>
  </si>
  <si>
    <t>Trần Tiến Thạnh</t>
  </si>
  <si>
    <t>-</t>
  </si>
  <si>
    <t>Hợp nhất hiện trạng</t>
  </si>
  <si>
    <t>Tổng hợp, phân loại và chuẩn hóa các thông tin khảo sát về thực trạng lưu trữ rời rạc và bất cập trong phối hợp dự án.</t>
  </si>
  <si>
    <t>1</t>
  </si>
  <si>
    <t>Phân tích hiện trạng</t>
  </si>
  <si>
    <t>Thảo luận các điểm nghẽn (xung đột phiên bản, chậm phê duyệt, thất lạc hồ sơ) để xác định bài toán cần giải quyết bằng IDD.</t>
  </si>
  <si>
    <t>2</t>
  </si>
  <si>
    <t>Đưa ra báo cáo đặc tả yêu cầu</t>
  </si>
  <si>
    <t>Triển khai yêu cầu nghiệp vụ thành Tài liệu đặc tả yêu cầu phần mềm (SRS) cho hệ thống IDD.</t>
  </si>
  <si>
    <t>3</t>
  </si>
  <si>
    <t>Mời khách hàng tham vấn</t>
  </si>
  <si>
    <t>Tham vấn Giáo viên hướng dẫn (ThS. Lê Thị Hoa) và đại diện chuyên môn để góp ý tài liệu đặc tả yêu cầu.</t>
  </si>
  <si>
    <t>Nguyễn Quốc Hội</t>
  </si>
  <si>
    <t>4</t>
  </si>
  <si>
    <t>Chỉnh sửa lại yêu cầu phần mềm</t>
  </si>
  <si>
    <t>Tiếp thu ý kiến đóng góp, cập nhật và hoàn thiện lại tài liệu đặc tả yêu cầu hệ thống IDD.</t>
  </si>
  <si>
    <t>5</t>
  </si>
  <si>
    <t>II</t>
  </si>
  <si>
    <t>Phân tích thiết kế hệ thống</t>
  </si>
  <si>
    <t>Xây dựng kiến trúc, mô hình Use Case và các sơ đồ thiết kế UML</t>
  </si>
  <si>
    <t>Trần Tiến Thạnh, Nguyễn Quốc Công, Nguyễn Quốc Hội</t>
  </si>
  <si>
    <t>Xác định ma trận yêu cầu</t>
  </si>
  <si>
    <t>Lập bảng Ma trận truy vết yêu cầu (Requirement Traceability Matrix) gán công việc với các vai trò thực hiện.</t>
  </si>
  <si>
    <t>Phạm Đức Hiếu</t>
  </si>
  <si>
    <t>6</t>
  </si>
  <si>
    <t>Thiết kế kiến trúc hệ thống</t>
  </si>
  <si>
    <t>Đưa ra mô hình kiến trúc tổng quan hệ thống IDD Web (Client-Server, tích hợp BIM Viewer 3D).</t>
  </si>
  <si>
    <t>7</t>
  </si>
  <si>
    <t>A</t>
  </si>
  <si>
    <t>Thiết kế biểu đồ UC của hệ thống</t>
  </si>
  <si>
    <t>Xác định và phân tích Actor của hệ thống</t>
  </si>
  <si>
    <t>Xác định các tác nhân chính tương tác với hệ thống: Chủ đầu tư, Tư vấn thiết kế, Nhà thầu thi công, Giám sát.</t>
  </si>
  <si>
    <t>Xác định và phân tích các User Case</t>
  </si>
  <si>
    <t>Xác định các nhóm chức năng lõi: Phân quyền, Xem mô hình BIM, Quản lý tài liệu/biểu mẫu, Theo dõi tiến độ.</t>
  </si>
  <si>
    <t>9</t>
  </si>
  <si>
    <t>Vẽ biểu đồ User Case tổng quát</t>
  </si>
  <si>
    <t>Xây dựng biểu đồ Use Case tổng quan thể hiện phạm vi chức năng và mối quan hệ giữa các tác nhân với hệ thống IDD.</t>
  </si>
  <si>
    <t>10</t>
  </si>
  <si>
    <t>B</t>
  </si>
  <si>
    <t>Đặc tả User Case</t>
  </si>
  <si>
    <t>User Case đăng nhập &amp; phân quyền</t>
  </si>
  <si>
    <t>Đặc tả chi tiết luồng đăng nhập, xác thực và phân quyền truy cập đa cấp theo cơ cấu tổ chức dự án.</t>
  </si>
  <si>
    <t>Nguyễn Quốc Công</t>
  </si>
  <si>
    <t>11</t>
  </si>
  <si>
    <t>User Case quản trị danh mục dự án</t>
  </si>
  <si>
    <t>Đặc tả chức năng khởi tạo dự án, phân công nhân sự và quản lý thông tin chung dự án xây dựng.</t>
  </si>
  <si>
    <t>User Case quản trị tiếp nhận &amp; xem BIM</t>
  </si>
  <si>
    <t>Đặc tả luồng tải lên file mô hình 3D (IFC/RVT), bóc tách thuộc tính và hiển thị trên BIM Viewer.</t>
  </si>
  <si>
    <t>User Case quản trị quá trình xử lý biểu mẫu</t>
  </si>
  <si>
    <t>Đặc tả quy trình tạo, gửi, duyệt và truy vết các biểu mẫu trao đổi (RFI, Submittal, biên bản nghiệm thu).</t>
  </si>
  <si>
    <t>User Case tìm kiếm &amp; tra cứu</t>
  </si>
  <si>
    <t>Đặc tả chức năng tìm kiếm, lọc bản vẽ, tài liệu pháp lý và mô hình BIM theo từ khóa/thuộc tính.</t>
  </si>
  <si>
    <t>User Case báo cáo tiến độ</t>
  </si>
  <si>
    <t>Đặc tả chức năng theo dõi tiến độ thi công, phát hiện và báo cáo xung đột (clash) giữa các bộ môn.</t>
  </si>
  <si>
    <t>Xác định biểu đồ lớp</t>
  </si>
  <si>
    <t>Xây dựng mô hình biểu đồ lớp (Class Diagram) bao gồm các thuộc tính, phương thức và mối quan hệ giữa các đối tượng.</t>
  </si>
  <si>
    <t>12, 13, 14, 15, 16, 17</t>
  </si>
  <si>
    <t>C</t>
  </si>
  <si>
    <t>Xác định biểu đồ tuần tự</t>
  </si>
  <si>
    <t>Biểu đồ tuần tự đăng nhập</t>
  </si>
  <si>
    <t>Thiết kế trình tự các bước xác thực thông tin tài khoản và cấp token phân quyền.</t>
  </si>
  <si>
    <t>12</t>
  </si>
  <si>
    <t>Biểu đồ tuần tự quản trị danh mục dự án</t>
  </si>
  <si>
    <t>Thiết kế trình tự các bước khởi tạo, cập nhật cấu trúc thư mục tài liệu dự án.</t>
  </si>
  <si>
    <t>13</t>
  </si>
  <si>
    <t>Biểu đồ tuần tự tiếp nhận &amp; load BIM</t>
  </si>
  <si>
    <t>Thiết kế trình tự các bước upload, xử lý và parse dữ liệu file BIM lên giao diện 3D Web.</t>
  </si>
  <si>
    <t>14</t>
  </si>
  <si>
    <t>Biểu đồ tuần tự xử lý biểu mẫu (RFI)</t>
  </si>
  <si>
    <t>Thiết kế trình tự tương tác giữa Nhà thầu - Tư vấn - Chủ đầu tư trong luồng duyệt RFI.</t>
  </si>
  <si>
    <t>15</t>
  </si>
  <si>
    <t>Biểu đồ tuần tự tìm kiếm</t>
  </si>
  <si>
    <t>Thiết kế trình tự truy vấn dữ liệu tài liệu, bản vẽ từ giao diện tới CSDL.</t>
  </si>
  <si>
    <t>16</t>
  </si>
  <si>
    <t>Biểu đồ tuần tự báo cáo tiến độ</t>
  </si>
  <si>
    <t>Thiết kế trình tự tổng hợp dữ liệu tiến độ công việc và xuất báo cáo thống kê.</t>
  </si>
  <si>
    <t>17</t>
  </si>
  <si>
    <t>D</t>
  </si>
  <si>
    <t>Xác định sơ đồ hoạt động</t>
  </si>
  <si>
    <t>Sơ đồ hoạt động đăng nhập</t>
  </si>
  <si>
    <t>Xây dựng luồng rẽ nhánh điều hướng người dùng theo từng vai trò (Role) sau khi đăng nhập thành công.</t>
  </si>
  <si>
    <t>19</t>
  </si>
  <si>
    <t>Sơ đồ hoạt động quản trị danh mục</t>
  </si>
  <si>
    <t>Xây dựng luồng thực hiện tạo lập dự án, phân quyền các bên tham gia.</t>
  </si>
  <si>
    <t>20</t>
  </si>
  <si>
    <t>Sơ đồ hoạt động tiếp nhận &amp; hiển thị BIM</t>
  </si>
  <si>
    <t>Xây dựng luồng hoạt động từ chọn file BIM, kiểm tra định dạng, render 3D tới thao tác xoay/cắt mô hình.</t>
  </si>
  <si>
    <t>21</t>
  </si>
  <si>
    <t>Sơ đồ hoạt động xử lý biểu mẫu RFI</t>
  </si>
  <si>
    <t>Xây dựng luồng luân chuyển yêu cầu thông tin từ lúc phát sinh đến khi được phê duyệt và lưu trữ.</t>
  </si>
  <si>
    <t>22</t>
  </si>
  <si>
    <t>Sơ đồ hoạt động tìm kiếm tài liệu</t>
  </si>
  <si>
    <t>Xây dựng các bước hoạt động chi tiết khi lọc và tìm kiếm tài liệu/bản vẽ.</t>
  </si>
  <si>
    <t>23</t>
  </si>
  <si>
    <t>Sơ đồ hoạt động báo cáo tiến độ</t>
  </si>
  <si>
    <t>Xây dựng luồng thu thập trạng thái công việc và phát hiện vị trí xung đột mô hình (Clash).</t>
  </si>
  <si>
    <t>24</t>
  </si>
  <si>
    <t>III</t>
  </si>
  <si>
    <t>Thiết kế giao diện</t>
  </si>
  <si>
    <t>Phác thảo UI/UX cho toàn bộ các màn hình ứng dụng IDD Web</t>
  </si>
  <si>
    <t>Trần Ngọc Đức</t>
  </si>
  <si>
    <t>Thiết kế giao diện phần Người dùng</t>
  </si>
  <si>
    <t>Thiết kế giao diện làm việc chung: Trang xem mô hình BIM 3D, danh sách hồ sơ, form tạo RFI, xem tiến độ.</t>
  </si>
  <si>
    <t>11, 14, 15</t>
  </si>
  <si>
    <t>Thiết kế giao diện cho phần Quản trị</t>
  </si>
  <si>
    <t>Thiết kế màn hình Dashboard cho Trưởng dự án/Chủ đầu tư: Phân quyền vai trò, quản lý thành viên, tổng quan tiến độ.</t>
  </si>
  <si>
    <t>12, 13</t>
  </si>
  <si>
    <t>Mời khách hàng tham vấn giao diện</t>
  </si>
  <si>
    <t>Trình bày bản Mockup/Prototype giao diện cho GVHD và nhóm người dùng thử nghiệm để nhận góp ý.</t>
  </si>
  <si>
    <t>Trần Ngọc Đức, Nguyễn Quốc Hội</t>
  </si>
  <si>
    <t>31, 32</t>
  </si>
  <si>
    <t>Chỉnh sửa theo yêu cầu</t>
  </si>
  <si>
    <t>Chỉnh sửa thiết kế UI/UX theo các góp ý về màu sắc, bố cục và tính tiện dụng (Usability).</t>
  </si>
  <si>
    <t>33</t>
  </si>
  <si>
    <t>IV</t>
  </si>
  <si>
    <t>Xây dựng chương trình</t>
  </si>
  <si>
    <t>Lập trình CSDL, Backend API, Frontend Web và các phân hệ chức năng</t>
  </si>
  <si>
    <t>Nguyễn Thành An, Trần Ngọc Đức, Trần Tiến Thạnh</t>
  </si>
  <si>
    <t>Thiết kế CSDL</t>
  </si>
  <si>
    <t>Xây dựng cấu trúc CSDL thực tế (SQL/NoSQL) theo sơ đồ ERD đã chuẩn hóa.</t>
  </si>
  <si>
    <t>18</t>
  </si>
  <si>
    <t>Xây dựng module tầng Data Access</t>
  </si>
  <si>
    <t>Xây dựng tầng kết nối và thao tác CSDL trực tiếp (Repository Pattern/ORM).</t>
  </si>
  <si>
    <t>Nguyễn Thành An</t>
  </si>
  <si>
    <t>35</t>
  </si>
  <si>
    <t>Xây dựng module tầng ADO/Business Service</t>
  </si>
  <si>
    <t>Xây dựng tầng xử lý logic nghiệp vụ trung gian (Service Layer API).</t>
  </si>
  <si>
    <t>36</t>
  </si>
  <si>
    <t>Xây dựng các chức năng phần Quản trị</t>
  </si>
  <si>
    <t>Lập trình các API và giao diện quản trị: Quản lý người dùng, gán quyền, khởi tạo dự án.</t>
  </si>
  <si>
    <t>37, 32</t>
  </si>
  <si>
    <t>E</t>
  </si>
  <si>
    <t>Xây dựng chức năng phần người dùng</t>
  </si>
  <si>
    <t>Đăng nhập</t>
  </si>
  <si>
    <t>Lập trình chức năng Đăng nhập/Đăng xuất, lưu vết token xác thực người dùng.</t>
  </si>
  <si>
    <t>37, 25</t>
  </si>
  <si>
    <t>Quản trị danh mục</t>
  </si>
  <si>
    <t>Lập trình phân hệ quản lý danh mục tài liệu, loại hồ sơ, thư mục dự án.</t>
  </si>
  <si>
    <t>38, 26</t>
  </si>
  <si>
    <t>Quản lý tiếp nhận &amp; hiển thị BIM</t>
  </si>
  <si>
    <t>Tích hợp engine hiển thị mô hình BIM 3D (WebGL/Three.js) trên trình duyệt Web.</t>
  </si>
  <si>
    <t>37, 27, 31</t>
  </si>
  <si>
    <t>Quản lý quá trình xử lý biểu mẫu</t>
  </si>
  <si>
    <t>Lập trình luồng tạo, gửi, duyệt và lưu vết các biểu mẫu RFI, Submittal, nghiệm thu.</t>
  </si>
  <si>
    <t>Trần Ngọc Đức, Nguyễn Thành An</t>
  </si>
  <si>
    <t>37, 28, 31</t>
  </si>
  <si>
    <t>Hoạt động tìm kiếm</t>
  </si>
  <si>
    <t>Lập trình công cụ tìm kiếm và lọc dữ liệu hồ sơ/mô hình theo nhiều tiêu chí.</t>
  </si>
  <si>
    <t>37, 29</t>
  </si>
  <si>
    <t>Chức năng thống kê báo cáo</t>
  </si>
  <si>
    <t>Lập trình hiển thị Tiến độ dạng Gantt Chart và thống kê số lượng hồ sơ/RFI đã duyệt.</t>
  </si>
  <si>
    <t>Nguyễn Thành An, Trần Ngọc Đức</t>
  </si>
  <si>
    <t>37, 30, 41</t>
  </si>
  <si>
    <t>Chức năng cho các bên xem kết quả</t>
  </si>
  <si>
    <t>Lập trình giao diện dành cho đơn vị Giám sát/Chủ đầu tư xem mô hình và tra cứu kết quả duyệt.</t>
  </si>
  <si>
    <t>41, 42, 44</t>
  </si>
  <si>
    <t>Viết hướng dẫn sử dụng</t>
  </si>
  <si>
    <t>Biện soạn tài liệu Hướng dẫn sử dụng phần mềm chi tiết kèm hình ảnh minh họa.</t>
  </si>
  <si>
    <t>38, 39, 40, 41, 42, 43, 44, 45</t>
  </si>
  <si>
    <t>V</t>
  </si>
  <si>
    <t>Kiểm thử chương trình</t>
  </si>
  <si>
    <t>Thực hiện kiểm thử chức năng, tích hợp, hiệu năng và sửa lỗi</t>
  </si>
  <si>
    <t>Phạm Đức Hiếu, Nguyễn Quốc Công</t>
  </si>
  <si>
    <t>F</t>
  </si>
  <si>
    <t>Kiểm thử chức năng</t>
  </si>
  <si>
    <t>Kiểm thử các chức năng phần quản trị</t>
  </si>
  <si>
    <t>Soạn Test Cases và kiểm thử các tính năng phân quyền, tạo tài khoản, khởi tạo dự án.</t>
  </si>
  <si>
    <t>38, 39, 40</t>
  </si>
  <si>
    <t>Kiểm thử chức năng phần người dùng</t>
  </si>
  <si>
    <t>Kiểm thử luồng upload file BIM, xem 3D, thao tác cắt/đo đạc và quy trình duyệt RFI.</t>
  </si>
  <si>
    <t>41, 42, 43, 44, 45</t>
  </si>
  <si>
    <t>Kiểm thử toàn cục</t>
  </si>
  <si>
    <t>Kiểm thử tích hợp toàn bộ hệ thống (End-to-End Test), kiểm thử hiệu năng load file BIM nặng.</t>
  </si>
  <si>
    <t>47, 48</t>
  </si>
  <si>
    <t>Sửa lỗi chương trình</t>
  </si>
  <si>
    <t>Ghi nhận danh sách lỗi (Bugs) và phối hợp với Đội Dev khắc phục triệt để.</t>
  </si>
  <si>
    <t>49</t>
  </si>
  <si>
    <t>VI</t>
  </si>
  <si>
    <t>Triển khai hệ thống</t>
  </si>
  <si>
    <t>Đóng gói, triển khai bản demo thử nghiệm và bảo trì</t>
  </si>
  <si>
    <t>Cả nhóm</t>
  </si>
  <si>
    <t>Triển khai trong mạng nội bộ</t>
  </si>
  <si>
    <t>Triển khai phiên bản thử nghiệm (Localhost/Staging Environment) phục vụ kiểm thử nội bộ nhóm.</t>
  </si>
  <si>
    <t>50</t>
  </si>
  <si>
    <t>Triển khai ra toàn cục</t>
  </si>
  <si>
    <t>Đóng gói ứng dụng (Docker) và triển khai bản Demo chạy trực tiếp trên môi trường Web (Cloud/Hosting).</t>
  </si>
  <si>
    <t>Nguyễn Thành An, Phạm Đức Hiếu</t>
  </si>
  <si>
    <t>51</t>
  </si>
  <si>
    <t>Báo cáo chương trình</t>
  </si>
  <si>
    <t>Tổng hợp Báo cáo kết quả nghiên cứu, chuẩn bị Slide và kịch bản Demo phục vụ bảo vệ đề tài cuối kỳ.</t>
  </si>
  <si>
    <t>Trần Tiến Thạnh, Nguyễn Thành An</t>
  </si>
  <si>
    <t>46, 52</t>
  </si>
  <si>
    <t>Đào tạo nhân lực sử dụng chương trình</t>
  </si>
  <si>
    <t>Hướng dẫn các thành viên và người dùng thử nghiệm thao tác trên hệ thống IDD Demo.</t>
  </si>
  <si>
    <t>52, 46</t>
  </si>
  <si>
    <t>Bảo trì hệ thống</t>
  </si>
  <si>
    <t>Theo dõi, duy trì sự ổn định của hệ thống demo và hỗ trợ kỹ thuật trong suốt quá trình báo cáo nghiệm thu.</t>
  </si>
  <si>
    <t>53, 54</t>
  </si>
  <si>
    <t>TỔNG CỘNG THỜI GIAN</t>
  </si>
  <si>
    <t>1. MÔ TẢ DỰ ÁN</t>
  </si>
  <si>
    <t>• Tên dự án:</t>
  </si>
  <si>
    <t>Xây dựng hệ thống quản lý và kết nối dữ liệu dự án xây dựng</t>
  </si>
  <si>
    <t>• Mã số đề tài:</t>
  </si>
  <si>
    <t>CNTT20261_N10</t>
  </si>
  <si>
    <t>• Ngày bắt đầu:</t>
  </si>
  <si>
    <t>• Ngày kết thúc:</t>
  </si>
  <si>
    <t>10/03/2027 (Thời gian thực hiện: 06 tháng)</t>
  </si>
  <si>
    <t>• Chủ đầu tư / Đơn vị chủ trì:</t>
  </si>
  <si>
    <t>Trường Công nghệ Thông tin và Truyền thông - Đại học Bách khoa Hà Nội</t>
  </si>
  <si>
    <t>• Kinh phí phê duyệt:</t>
  </si>
  <si>
    <t>1.128.528.500 VNĐ (Một tỷ một trăm hai mươi tám triệu năm trăm hai mươi tám ngàn năm trăm đồng)</t>
  </si>
  <si>
    <t>• Giám đốc / Cố vấn dự án:</t>
  </si>
  <si>
    <t>ThS. Lê Thị Hoa (GVHD) &amp; Nguyễn Quốc Hội (Chủ nhiệm đề tài)</t>
  </si>
  <si>
    <t>• MỤC TIÊU VÀ YÊU CẦU DỰ ÁN</t>
  </si>
  <si>
    <t>- Chức năng nghiệp vụ:</t>
  </si>
  <si>
    <t>• Quản lý tập trung tài liệu, hồ sơ thiết kế, bản vẽ, hợp đồng và biểu mẫu giao tiếp (RFI, Submittal, Biên bản nghiệm thu).
• Tích hợp BIM Viewer 3D trên nền tảng Web, hỗ trợ xem, xoay, cắt lớp và trích xuất thuộc tính mô hình BIM (IFC/RVT).
• Quản lý phân quyền người dùng đa cấp theo đúng vai trò thực tế trong dự án xây dựng.
• Theo dõi tiến độ công việc, phát hiện xung đột (clash detection) và xuất báo cáo thống kê trực quan.</t>
  </si>
  <si>
    <t>- Yêu cầu kỹ thuật (Đáp ứng tiêu chuẩn Website &amp; BIM):</t>
  </si>
  <si>
    <t>• Kiến trúc hệ thống Web Client-Server hiện đại, đáp ứng chuẩn RESTful API, đóng gói Docker container.
• Tốc độ phản hồi API &lt; 2s đối với tác vụ thường, render mô hình 3D mượt mà trên trình duyệt (sử dụng Three.js / WebGL).
• Bảo mật dữ liệu với xác thực OAuth2 / JWT, phân quyền truy cập theo vai trò (RBAC).
• Khả năng chịu tải và tính sẵn sàng cao (Availability &gt;= 99.9%), tương thích trên Chrome, Edge, Firefox.</t>
  </si>
  <si>
    <t>- Yêu cầu khác:</t>
  </si>
  <si>
    <t>• Giao diện UI/UX tối ưu, thân thiện, dễ thao tác cho các kỹ sư công trường và ban quản lý dự án.
• Tuân thủ các quy trình quản lý dự án xây dựng chuẩn hóa và chuẩn trao đổi dữ liệu BIM (ISO 19650).
• Đầy đủ bộ tài liệu đặc tả yêu cầu (SRS), thiết kế kiến trúc/UML, kịch bản kiểm thử và Hướng dẫn sử dụng.</t>
  </si>
  <si>
    <t>- Phạm vi của dự án:</t>
  </si>
  <si>
    <t>• Trong phạm vi (In-Scope): Nghiên cứu, phân tích, thiết kế và lập trình hoàn thiện nguyên mẫu hệ thống IDD Web; thử nghiệm thực tế trên 01 công trình xây dựng.
• Ngoài phạm vi (Out-of-Scope): Lập trình ứng dụng Mobile Native (iOS/Android) và tích hợp các hệ thống ERP doanh nghiệp ngoài ngành.</t>
  </si>
  <si>
    <t>- Đối tượng sử dụng: Vai trò và trách nhiệm trong dự án</t>
  </si>
  <si>
    <t>Vai trò</t>
  </si>
  <si>
    <t>Họ và tên</t>
  </si>
  <si>
    <t>Tổ chức / Vị trí</t>
  </si>
  <si>
    <t>Trách nhiệm chính</t>
  </si>
  <si>
    <t>Email</t>
  </si>
  <si>
    <t>Chủ đầu tư / GVHD</t>
  </si>
  <si>
    <t>ThS. Lê Thị Hoa</t>
  </si>
  <si>
    <t>Giảng viên - Trường CNTT&amp;TT</t>
  </si>
  <si>
    <t xml:space="preserve"> Định hướng đề tài, phê duyệt yêu cầu &amp; nghiệm thu</t>
  </si>
  <si>
    <t>hoa.lethi@hust.edu.vn</t>
  </si>
  <si>
    <t>Giám đốc dự án</t>
  </si>
  <si>
    <t>Chủ nhiệm đề tài - Sinh viên</t>
  </si>
  <si>
    <t xml:space="preserve"> Quản lý tổng thể dự án, điều phối nhân sự &amp; tiến độ</t>
  </si>
  <si>
    <t>Hoi.NQ2490057@sis.hust.edu.vn</t>
  </si>
  <si>
    <t>Thư ký &amp; Business Analyst</t>
  </si>
  <si>
    <t>Thành viên nhóm - Sinh viên</t>
  </si>
  <si>
    <t xml:space="preserve"> Khảo sát yêu cầu, phân tích nghiệp vụ &amp; vẽ sơ đồ UML</t>
  </si>
  <si>
    <t>thanh.tt239253@sis.hust.edu.vn</t>
  </si>
  <si>
    <t>Tech Lead &amp; Backend Dev</t>
  </si>
  <si>
    <t xml:space="preserve"> Thiết kế CSDL, lập trình API Backend &amp; triển khai Server</t>
  </si>
  <si>
    <t>An.NT2490028@sis.hust.edu.vn</t>
  </si>
  <si>
    <t>Frontend Developer</t>
  </si>
  <si>
    <t xml:space="preserve"> Thiết kế UI/UX Figma, tích hợp BIM 3D Viewer WebGL</t>
  </si>
  <si>
    <t>Duc.TN2490042@sis.hust.edu.vn</t>
  </si>
  <si>
    <t>QA/QC &amp; DevOps</t>
  </si>
  <si>
    <t xml:space="preserve"> Soạn kịch bản test, kiểm thử phần mềm &amp; đóng gói Docker</t>
  </si>
  <si>
    <t>Hieu.PD2490051@sis.hust.edu.vn</t>
  </si>
  <si>
    <t>Technical Writer / Support</t>
  </si>
  <si>
    <t xml:space="preserve"> Lập tài liệu SRS, biên soạn HDSD &amp; hỗ trợ người dùng</t>
  </si>
  <si>
    <t>cong.nq231117P@sis.hust.edu.vn</t>
  </si>
  <si>
    <t>2. CÔNG BỐ DỰ ÁN (QUYẾT ĐỊNH KHỞI CÔNG DỰ ÁN PHẦN MỀM)</t>
  </si>
  <si>
    <t>(Số: 10/QĐ-CNTT20261 — Ngày 10 tháng 09 năm 2026)</t>
  </si>
  <si>
    <t>Tên dự án:</t>
  </si>
  <si>
    <t>Mã số dự án:</t>
  </si>
  <si>
    <t>Chủ đầu tư / Đơn vị quản lý:</t>
  </si>
  <si>
    <t>Thời gian thực hiện:</t>
  </si>
  <si>
    <t>Từ 10/09/2026 đến 10/03/2027</t>
  </si>
  <si>
    <t>Giám đốc / Cố vấn dự án:</t>
  </si>
  <si>
    <t xml:space="preserve">ThS. Lê Thị Hoa (Giảng viên hướng dẫn) </t>
  </si>
  <si>
    <t>Chủ nhiệm dự án</t>
  </si>
  <si>
    <t>Quản trị viên</t>
  </si>
  <si>
    <t>Quy mô dự án:</t>
  </si>
  <si>
    <t>06 thành viên chuyên trách | 55 hạng mục công việc chi tiết | Thời gian 06 tháng</t>
  </si>
  <si>
    <t>Mục tiêu &amp; Yêu cầu bàn giao:</t>
  </si>
  <si>
    <t>Phát triển thành công hệ thống Web quản lý và kết nối dữ liệu dự án xây dựng tích hợp BIM Viewer 3D, nghiệm thu đầy đủ mã nguồn, CSDL, bộ tài liệu SRS/UML và hướng dẫn sử dụng đúng thời hạn.</t>
  </si>
  <si>
    <t>Hà Nội, ngày 10 tháng 09 năm 2026</t>
  </si>
  <si>
    <t>ĐẠI DIỆN CHỦ ĐẦU TƯ / GVHD</t>
  </si>
  <si>
    <t>GIÁM ĐỐC / CHỦ NHIỆM DỰ ÁN</t>
  </si>
  <si>
    <t>(Ký và ghi rõ họ tên)</t>
  </si>
  <si>
    <t>Hoa</t>
  </si>
  <si>
    <t>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</si>
</sst>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1"/>
      <color theme="1"/>
      <name val="Times  New Roman"/>
      <charset val="134"/>
    </font>
    <font>
      <sz val="11"/>
      <color theme="1"/>
      <name val="Times New Roman"/>
    </font>
    <font>
      <b/>
      <sz val="12"/>
      <name val="Times New Roman"/>
      <family val="1"/>
    </font>
    <font>
      <sz val="12"/>
      <name val="Calibri"/>
      <family val="2"/>
      <scheme val="minor"/>
    </font>
    <font>
      <b/>
      <sz val="12"/>
      <name val="Calibri"/>
      <family val="2"/>
      <scheme val="minor"/>
    </font>
    <font>
      <b/>
      <i/>
      <sz val="12"/>
      <name val="Times New Roman"/>
      <family val="1"/>
    </font>
    <font>
      <sz val="12"/>
      <name val="Times New Roman"/>
      <family val="1"/>
    </font>
    <font>
      <sz val="12"/>
      <name val="Times  New Roman"/>
      <charset val="134"/>
    </font>
    <font>
      <i/>
      <sz val="12"/>
      <name val="Times New Roman"/>
      <family val="1"/>
    </font>
  </fonts>
  <fills count="7">
    <fill>
      <patternFill patternType="none"/>
    </fill>
    <fill>
      <patternFill patternType="gray125"/>
    </fill>
    <fill>
      <patternFill patternType="solid">
        <fgColor theme="0"/>
        <bgColor indexed="64"/>
      </patternFill>
    </fill>
    <fill>
      <patternFill patternType="solid">
        <fgColor rgb="FFF9FAFB"/>
        <bgColor rgb="FFF9FAFB"/>
      </patternFill>
    </fill>
    <fill>
      <patternFill patternType="solid">
        <fgColor theme="8" tint="0.39994506668294322"/>
        <bgColor rgb="FF1F4E79"/>
      </patternFill>
    </fill>
    <fill>
      <patternFill patternType="solid">
        <fgColor rgb="FFD9E1F2"/>
        <bgColor rgb="FFD9E1F2"/>
      </patternFill>
    </fill>
    <fill>
      <patternFill patternType="solid">
        <fgColor rgb="FFF2F2F2"/>
        <bgColor rgb="FFF2F2F2"/>
      </patternFill>
    </fill>
  </fills>
  <borders count="7">
    <border>
      <left/>
      <right/>
      <top/>
      <bottom/>
      <diagonal/>
    </border>
    <border>
      <left style="thin">
        <color rgb="FF1F4E79"/>
      </left>
      <right style="thin">
        <color rgb="FF1F4E79"/>
      </right>
      <top style="medium">
        <color rgb="FF1F4E79"/>
      </top>
      <bottom style="medium">
        <color rgb="FF1F4E79"/>
      </bottom>
      <diagonal/>
    </border>
    <border>
      <left style="thin">
        <color rgb="FF1F4E79"/>
      </left>
      <right style="thin">
        <color rgb="FF1F4E79"/>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61">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4" fillId="0" borderId="0" xfId="0" applyFont="1"/>
    <xf numFmtId="0" fontId="3" fillId="0" borderId="0" xfId="0" applyFont="1" applyAlignment="1">
      <alignment horizontal="left" vertical="center"/>
    </xf>
    <xf numFmtId="0" fontId="7" fillId="0" borderId="0" xfId="0" applyFont="1"/>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7" fillId="5" borderId="4" xfId="0" applyFont="1" applyFill="1" applyBorder="1"/>
    <xf numFmtId="0" fontId="7" fillId="3" borderId="4" xfId="0" applyFont="1" applyFill="1" applyBorder="1" applyAlignment="1">
      <alignment horizontal="center" vertical="center" wrapText="1"/>
    </xf>
    <xf numFmtId="0" fontId="7" fillId="3" borderId="4" xfId="0" applyFont="1" applyFill="1" applyBorder="1" applyAlignment="1">
      <alignment horizontal="left" vertical="center" wrapText="1"/>
    </xf>
    <xf numFmtId="164" fontId="7" fillId="3" borderId="4" xfId="0" applyNumberFormat="1" applyFont="1" applyFill="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164" fontId="7" fillId="0" borderId="4" xfId="0" applyNumberFormat="1" applyFont="1" applyBorder="1" applyAlignment="1">
      <alignment horizontal="center" vertical="center"/>
    </xf>
    <xf numFmtId="0" fontId="7" fillId="5" borderId="4" xfId="0" applyFont="1" applyFill="1" applyBorder="1" applyAlignment="1">
      <alignment horizontal="center"/>
    </xf>
    <xf numFmtId="0" fontId="3" fillId="6" borderId="4" xfId="0" applyFont="1" applyFill="1" applyBorder="1" applyAlignment="1">
      <alignment horizontal="center" vertical="center" wrapText="1"/>
    </xf>
    <xf numFmtId="164" fontId="3" fillId="5" borderId="4" xfId="0" applyNumberFormat="1" applyFont="1" applyFill="1" applyBorder="1" applyAlignment="1">
      <alignment horizontal="center" vertical="center"/>
    </xf>
    <xf numFmtId="0" fontId="8" fillId="0" borderId="0" xfId="0" applyFont="1"/>
    <xf numFmtId="0" fontId="7" fillId="0" borderId="0" xfId="0" applyFont="1" applyAlignment="1">
      <alignment horizontal="left" vertical="center" wrapText="1"/>
    </xf>
    <xf numFmtId="0" fontId="3" fillId="0" borderId="0" xfId="0" applyFont="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0" xfId="0" applyFont="1" applyAlignment="1">
      <alignment vertical="center"/>
    </xf>
    <xf numFmtId="0" fontId="7" fillId="3" borderId="3" xfId="0" applyFont="1" applyFill="1" applyBorder="1" applyAlignment="1">
      <alignment horizontal="center" vertical="center" wrapText="1"/>
    </xf>
    <xf numFmtId="0" fontId="7" fillId="3" borderId="3" xfId="0" applyFont="1" applyFill="1" applyBorder="1" applyAlignment="1">
      <alignment horizontal="left" vertical="center" wrapText="1"/>
    </xf>
    <xf numFmtId="0" fontId="3" fillId="0" borderId="0" xfId="0" applyFont="1" applyAlignment="1">
      <alignment vertical="top"/>
    </xf>
    <xf numFmtId="0" fontId="9" fillId="2" borderId="0" xfId="0" applyFont="1" applyFill="1" applyAlignment="1">
      <alignment horizontal="center" vertical="center" wrapText="1"/>
    </xf>
    <xf numFmtId="0" fontId="3" fillId="2" borderId="0" xfId="0" applyFont="1" applyFill="1" applyAlignment="1">
      <alignment horizontal="center" vertical="center" wrapText="1"/>
    </xf>
    <xf numFmtId="0" fontId="8" fillId="2" borderId="0" xfId="0" applyFont="1" applyFill="1"/>
    <xf numFmtId="0" fontId="3" fillId="2" borderId="0" xfId="0" applyFont="1" applyFill="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4" xfId="0" applyFont="1" applyBorder="1"/>
    <xf numFmtId="0" fontId="7" fillId="0" borderId="4" xfId="0" applyFont="1" applyBorder="1" applyAlignment="1">
      <alignment horizontal="center" vertical="center"/>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left" vertical="center"/>
    </xf>
    <xf numFmtId="0" fontId="3" fillId="4" borderId="6" xfId="0" applyFont="1" applyFill="1" applyBorder="1" applyAlignment="1">
      <alignment horizontal="center" vertical="center" wrapText="1"/>
    </xf>
    <xf numFmtId="0" fontId="6" fillId="0" borderId="0" xfId="0" applyFont="1" applyAlignment="1">
      <alignment horizontal="left" vertical="center" wrapText="1"/>
    </xf>
    <xf numFmtId="0" fontId="3" fillId="4" borderId="4"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3" fillId="2" borderId="0" xfId="0" applyFont="1" applyFill="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left" vertical="top" wrapText="1"/>
    </xf>
    <xf numFmtId="0" fontId="7" fillId="0" borderId="0" xfId="0" applyFont="1" applyAlignment="1">
      <alignment vertical="center" wrapText="1"/>
    </xf>
    <xf numFmtId="0" fontId="9" fillId="0" borderId="0" xfId="0" applyFont="1" applyAlignment="1">
      <alignment horizontal="left" vertical="center" wrapText="1"/>
    </xf>
    <xf numFmtId="14" fontId="7" fillId="0" borderId="0" xfId="0" applyNumberFormat="1" applyFont="1" applyAlignment="1">
      <alignment horizontal="left" vertical="center" wrapText="1"/>
    </xf>
    <xf numFmtId="0" fontId="3" fillId="2" borderId="0" xfId="0" applyFont="1" applyFill="1" applyAlignment="1">
      <alignment horizontal="center"/>
    </xf>
    <xf numFmtId="0" fontId="3" fillId="0" borderId="0" xfId="0" applyFont="1" applyAlignment="1">
      <alignment vertical="center" wrapText="1"/>
    </xf>
    <xf numFmtId="0" fontId="9" fillId="2" borderId="0" xfId="0" applyFont="1" applyFill="1" applyAlignment="1">
      <alignment horizontal="center" vertical="center" wrapText="1"/>
    </xf>
    <xf numFmtId="0" fontId="5" fillId="0" borderId="0" xfId="0" applyFont="1" applyAlignment="1"/>
    <xf numFmtId="0" fontId="4" fillId="0" borderId="4" xfId="0" applyFont="1" applyBorder="1" applyAlignment="1"/>
    <xf numFmtId="0" fontId="4" fillId="0" borderId="5" xfId="0" applyFont="1" applyBorder="1" applyAlignment="1"/>
    <xf numFmtId="0" fontId="8" fillId="0" borderId="0" xfId="0" applyFont="1" applyAlignment="1"/>
    <xf numFmtId="0" fontId="3" fillId="0" borderId="0" xfId="0" applyFont="1" applyAlignment="1"/>
    <xf numFmtId="0" fontId="8" fillId="2" borderId="0" xfId="0" applyFont="1" applyFill="1" applyAlignment="1"/>
    <xf numFmtId="0" fontId="7" fillId="2" borderId="0" xfId="0" applyFont="1" applyFill="1" applyAlignment="1"/>
  </cellXfs>
  <cellStyles count="1">
    <cellStyle name="Bình thường" xfId="0" builtinId="0"/>
  </cellStyles>
  <dxfs count="8">
    <dxf>
      <font>
        <b val="0"/>
        <i val="0"/>
        <strike val="0"/>
        <condense val="0"/>
        <extend val="0"/>
        <outline val="0"/>
        <shadow val="0"/>
        <u val="none"/>
        <vertAlign val="baseline"/>
        <sz val="12"/>
        <color auto="1"/>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auto="1"/>
        <name val="Times New Roman"/>
        <family val="1"/>
        <scheme val="none"/>
      </font>
      <alignment horizontal="center"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auto="1"/>
        <name val="Times New Roman"/>
        <family val="1"/>
        <scheme val="none"/>
      </font>
      <alignment horizontal="left" vertical="center" textRotation="0" wrapText="1" indent="0" justifyLastLine="0" shrinkToFit="0" readingOrder="0"/>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1F4E79"/>
        </left>
        <right style="thin">
          <color rgb="FF1F4E7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46E85-0E4F-4356-B40D-E44E3E67522F}" name="Table1" displayName="Table1" ref="A20:F27" totalsRowShown="0" headerRowDxfId="7" dataDxfId="6">
  <autoFilter ref="A20:F27" xr:uid="{AE446E85-0E4F-4356-B40D-E44E3E67522F}"/>
  <tableColumns count="6">
    <tableColumn id="1" xr3:uid="{7419BAA2-EC10-496B-B7DE-489562962256}" name="STT" dataDxfId="5"/>
    <tableColumn id="2" xr3:uid="{336BDD7C-52BC-4A68-B168-DD4A47CC5DB9}" name="Vai trò" dataDxfId="4"/>
    <tableColumn id="3" xr3:uid="{50B5B0C3-F0BC-4506-869E-C1A19459CE1A}" name="Họ và tên" dataDxfId="3"/>
    <tableColumn id="4" xr3:uid="{4D4C4A88-4718-46CB-B8D4-B2117F154085}" name="Tổ chức / Vị trí" dataDxfId="2"/>
    <tableColumn id="5" xr3:uid="{D1250D07-7F99-42BC-B8CE-F54D04DE2D75}" name="Trách nhiệm chính" dataDxfId="1"/>
    <tableColumn id="6" xr3:uid="{96690730-CA9C-41CB-BDCC-6BAAD074C394}" name="Email"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ong.nq231117P@sis.hust.edu.vn" TargetMode="External"/><Relationship Id="rId2" Type="http://schemas.openxmlformats.org/officeDocument/2006/relationships/hyperlink" Target="mailto:thanh.tt239253@sis.hust.edu.vn" TargetMode="External"/><Relationship Id="rId1" Type="http://schemas.openxmlformats.org/officeDocument/2006/relationships/hyperlink" Target="mailto:Hoi.NQ2490057@sis.hust.edu.vn"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
  <sheetViews>
    <sheetView showGridLines="0" tabSelected="1" topLeftCell="A37" zoomScale="85" zoomScaleNormal="85" workbookViewId="0">
      <selection activeCell="A3" sqref="A3:J3"/>
    </sheetView>
  </sheetViews>
  <sheetFormatPr defaultColWidth="9" defaultRowHeight="15.75"/>
  <cols>
    <col min="1" max="1" width="11" style="5" customWidth="1"/>
    <col min="2" max="2" width="45" style="5" customWidth="1"/>
    <col min="3" max="3" width="65" style="5" customWidth="1"/>
    <col min="4" max="6" width="11" style="5" customWidth="1"/>
    <col min="7" max="7" width="30" style="5" customWidth="1"/>
    <col min="8" max="9" width="15" style="5" customWidth="1"/>
    <col min="10" max="10" width="45" style="5" customWidth="1"/>
    <col min="11" max="11" width="25" style="5" customWidth="1"/>
    <col min="12" max="16384" width="9" style="5"/>
  </cols>
  <sheetData>
    <row r="1" spans="1:11" ht="22.5" customHeight="1">
      <c r="A1" s="4" t="s">
        <v>0</v>
      </c>
      <c r="B1" s="4"/>
      <c r="C1" s="4"/>
      <c r="D1" s="4"/>
      <c r="E1" s="4"/>
      <c r="F1" s="4"/>
      <c r="G1" s="4"/>
      <c r="H1" s="4"/>
      <c r="I1" s="4"/>
      <c r="J1" s="4"/>
    </row>
    <row r="2" spans="1:11" ht="19.899999999999999" customHeight="1">
      <c r="A2" s="40" t="s">
        <v>1</v>
      </c>
      <c r="B2" s="54"/>
      <c r="C2" s="54"/>
      <c r="D2" s="54"/>
      <c r="E2" s="54"/>
      <c r="F2" s="54"/>
      <c r="G2" s="54"/>
      <c r="H2" s="54"/>
      <c r="I2" s="54"/>
      <c r="J2" s="54"/>
    </row>
    <row r="3" spans="1:11" ht="22.5" customHeight="1">
      <c r="A3" s="42" t="s">
        <v>2</v>
      </c>
      <c r="B3" s="54"/>
      <c r="C3" s="54"/>
      <c r="D3" s="54"/>
      <c r="E3" s="54"/>
      <c r="F3" s="54"/>
      <c r="G3" s="54"/>
      <c r="H3" s="54"/>
      <c r="I3" s="54"/>
      <c r="J3" s="54"/>
    </row>
    <row r="4" spans="1:11">
      <c r="A4" s="7"/>
      <c r="B4" s="7"/>
      <c r="C4" s="7"/>
      <c r="D4" s="7"/>
      <c r="E4" s="7"/>
      <c r="F4" s="7"/>
      <c r="G4" s="7"/>
      <c r="H4" s="7"/>
      <c r="I4" s="7"/>
      <c r="J4" s="7"/>
    </row>
    <row r="5" spans="1:11" ht="30" customHeight="1">
      <c r="A5" s="41" t="s">
        <v>3</v>
      </c>
      <c r="B5" s="43" t="s">
        <v>4</v>
      </c>
      <c r="C5" s="43" t="s">
        <v>5</v>
      </c>
      <c r="D5" s="43" t="s">
        <v>6</v>
      </c>
      <c r="E5" s="55"/>
      <c r="F5" s="55"/>
      <c r="G5" s="55"/>
      <c r="H5" s="43" t="s">
        <v>7</v>
      </c>
      <c r="I5" s="43" t="s">
        <v>8</v>
      </c>
      <c r="J5" s="43" t="s">
        <v>9</v>
      </c>
      <c r="K5" s="38" t="s">
        <v>10</v>
      </c>
    </row>
    <row r="6" spans="1:11">
      <c r="A6" s="56"/>
      <c r="B6" s="55"/>
      <c r="C6" s="55"/>
      <c r="D6" s="8" t="s">
        <v>11</v>
      </c>
      <c r="E6" s="8" t="s">
        <v>12</v>
      </c>
      <c r="F6" s="8" t="s">
        <v>13</v>
      </c>
      <c r="G6" s="8" t="s">
        <v>14</v>
      </c>
      <c r="H6" s="55"/>
      <c r="I6" s="55"/>
      <c r="J6" s="55"/>
      <c r="K6" s="39"/>
    </row>
    <row r="7" spans="1:11" ht="25.9" customHeight="1">
      <c r="A7" s="9" t="s">
        <v>15</v>
      </c>
      <c r="B7" s="10" t="s">
        <v>16</v>
      </c>
      <c r="C7" s="10" t="s">
        <v>17</v>
      </c>
      <c r="D7" s="11"/>
      <c r="E7" s="11"/>
      <c r="F7" s="11"/>
      <c r="G7" s="11"/>
      <c r="H7" s="11"/>
      <c r="I7" s="11"/>
      <c r="J7" s="9" t="s">
        <v>18</v>
      </c>
      <c r="K7" s="36"/>
    </row>
    <row r="8" spans="1:11" ht="25.9" customHeight="1">
      <c r="A8" s="12">
        <v>1</v>
      </c>
      <c r="B8" s="13" t="s">
        <v>19</v>
      </c>
      <c r="C8" s="13" t="s">
        <v>20</v>
      </c>
      <c r="D8" s="14">
        <v>2</v>
      </c>
      <c r="E8" s="14">
        <v>3</v>
      </c>
      <c r="F8" s="14">
        <v>5</v>
      </c>
      <c r="G8" s="14">
        <f t="shared" ref="G8:G13" si="0">ROUND((D8+4*E8+F8)/6,1)</f>
        <v>3.2</v>
      </c>
      <c r="H8" s="14">
        <v>0</v>
      </c>
      <c r="I8" s="14">
        <f t="shared" ref="I8:I13" si="1">G8+H8</f>
        <v>3.2</v>
      </c>
      <c r="J8" s="13" t="s">
        <v>21</v>
      </c>
      <c r="K8" s="37" t="s">
        <v>22</v>
      </c>
    </row>
    <row r="9" spans="1:11" ht="25.9" customHeight="1">
      <c r="A9" s="15">
        <v>2</v>
      </c>
      <c r="B9" s="16" t="s">
        <v>23</v>
      </c>
      <c r="C9" s="16" t="s">
        <v>24</v>
      </c>
      <c r="D9" s="17">
        <v>1</v>
      </c>
      <c r="E9" s="17">
        <v>2</v>
      </c>
      <c r="F9" s="17">
        <v>3</v>
      </c>
      <c r="G9" s="17">
        <f t="shared" si="0"/>
        <v>2</v>
      </c>
      <c r="H9" s="17">
        <v>0</v>
      </c>
      <c r="I9" s="17">
        <f t="shared" si="1"/>
        <v>2</v>
      </c>
      <c r="J9" s="16" t="s">
        <v>21</v>
      </c>
      <c r="K9" s="37" t="s">
        <v>25</v>
      </c>
    </row>
    <row r="10" spans="1:11" ht="25.9" customHeight="1">
      <c r="A10" s="12">
        <v>3</v>
      </c>
      <c r="B10" s="13" t="s">
        <v>26</v>
      </c>
      <c r="C10" s="13" t="s">
        <v>27</v>
      </c>
      <c r="D10" s="14">
        <v>1</v>
      </c>
      <c r="E10" s="14">
        <v>2</v>
      </c>
      <c r="F10" s="14">
        <v>4</v>
      </c>
      <c r="G10" s="14">
        <f t="shared" si="0"/>
        <v>2.2000000000000002</v>
      </c>
      <c r="H10" s="14">
        <v>0</v>
      </c>
      <c r="I10" s="14">
        <f t="shared" si="1"/>
        <v>2.2000000000000002</v>
      </c>
      <c r="J10" s="13" t="s">
        <v>21</v>
      </c>
      <c r="K10" s="37" t="s">
        <v>28</v>
      </c>
    </row>
    <row r="11" spans="1:11" ht="25.9" customHeight="1">
      <c r="A11" s="15">
        <v>4</v>
      </c>
      <c r="B11" s="16" t="s">
        <v>29</v>
      </c>
      <c r="C11" s="16" t="s">
        <v>30</v>
      </c>
      <c r="D11" s="17">
        <v>2</v>
      </c>
      <c r="E11" s="17">
        <v>3</v>
      </c>
      <c r="F11" s="17">
        <v>5</v>
      </c>
      <c r="G11" s="17">
        <f t="shared" si="0"/>
        <v>3.2</v>
      </c>
      <c r="H11" s="17">
        <v>0</v>
      </c>
      <c r="I11" s="17">
        <f t="shared" si="1"/>
        <v>3.2</v>
      </c>
      <c r="J11" s="16" t="s">
        <v>21</v>
      </c>
      <c r="K11" s="37" t="s">
        <v>31</v>
      </c>
    </row>
    <row r="12" spans="1:11" ht="25.9" customHeight="1">
      <c r="A12" s="12">
        <v>5</v>
      </c>
      <c r="B12" s="13" t="s">
        <v>32</v>
      </c>
      <c r="C12" s="13" t="s">
        <v>33</v>
      </c>
      <c r="D12" s="14">
        <v>1</v>
      </c>
      <c r="E12" s="14">
        <v>1</v>
      </c>
      <c r="F12" s="14">
        <v>2</v>
      </c>
      <c r="G12" s="14">
        <f t="shared" si="0"/>
        <v>1.2</v>
      </c>
      <c r="H12" s="14">
        <v>0</v>
      </c>
      <c r="I12" s="14">
        <f t="shared" si="1"/>
        <v>1.2</v>
      </c>
      <c r="J12" s="13" t="s">
        <v>34</v>
      </c>
      <c r="K12" s="37" t="s">
        <v>35</v>
      </c>
    </row>
    <row r="13" spans="1:11" ht="25.9" customHeight="1">
      <c r="A13" s="15">
        <v>6</v>
      </c>
      <c r="B13" s="16" t="s">
        <v>36</v>
      </c>
      <c r="C13" s="16" t="s">
        <v>37</v>
      </c>
      <c r="D13" s="17">
        <v>1</v>
      </c>
      <c r="E13" s="17">
        <v>2</v>
      </c>
      <c r="F13" s="17">
        <v>3</v>
      </c>
      <c r="G13" s="17">
        <f t="shared" si="0"/>
        <v>2</v>
      </c>
      <c r="H13" s="17">
        <v>0</v>
      </c>
      <c r="I13" s="17">
        <f t="shared" si="1"/>
        <v>2</v>
      </c>
      <c r="J13" s="16" t="s">
        <v>21</v>
      </c>
      <c r="K13" s="37" t="s">
        <v>38</v>
      </c>
    </row>
    <row r="14" spans="1:11" ht="29.1" customHeight="1">
      <c r="A14" s="9" t="s">
        <v>39</v>
      </c>
      <c r="B14" s="10" t="s">
        <v>40</v>
      </c>
      <c r="C14" s="10" t="s">
        <v>41</v>
      </c>
      <c r="D14" s="18"/>
      <c r="E14" s="18"/>
      <c r="F14" s="18"/>
      <c r="G14" s="18"/>
      <c r="H14" s="18"/>
      <c r="I14" s="18"/>
      <c r="J14" s="9" t="s">
        <v>42</v>
      </c>
      <c r="K14" s="36"/>
    </row>
    <row r="15" spans="1:11" ht="25.9" customHeight="1">
      <c r="A15" s="15">
        <v>7</v>
      </c>
      <c r="B15" s="16" t="s">
        <v>43</v>
      </c>
      <c r="C15" s="16" t="s">
        <v>44</v>
      </c>
      <c r="D15" s="17">
        <v>1</v>
      </c>
      <c r="E15" s="17">
        <v>2</v>
      </c>
      <c r="F15" s="17">
        <v>3</v>
      </c>
      <c r="G15" s="17">
        <f>ROUND((D15+4*E15+F15)/6,1)</f>
        <v>2</v>
      </c>
      <c r="H15" s="17">
        <v>0</v>
      </c>
      <c r="I15" s="17">
        <f>G15+H15</f>
        <v>2</v>
      </c>
      <c r="J15" s="16" t="s">
        <v>45</v>
      </c>
      <c r="K15" s="37" t="s">
        <v>46</v>
      </c>
    </row>
    <row r="16" spans="1:11" ht="25.9" customHeight="1">
      <c r="A16" s="12">
        <v>8</v>
      </c>
      <c r="B16" s="13" t="s">
        <v>47</v>
      </c>
      <c r="C16" s="13" t="s">
        <v>48</v>
      </c>
      <c r="D16" s="14">
        <v>2</v>
      </c>
      <c r="E16" s="14">
        <v>4</v>
      </c>
      <c r="F16" s="14">
        <v>5</v>
      </c>
      <c r="G16" s="14">
        <f>ROUND((D16+4*E16+F16)/6,1)</f>
        <v>3.8</v>
      </c>
      <c r="H16" s="14">
        <v>0</v>
      </c>
      <c r="I16" s="14">
        <f>G16+H16</f>
        <v>3.8</v>
      </c>
      <c r="J16" s="16" t="s">
        <v>45</v>
      </c>
      <c r="K16" s="37" t="s">
        <v>49</v>
      </c>
    </row>
    <row r="17" spans="1:11" ht="25.9" customHeight="1">
      <c r="A17" s="19" t="s">
        <v>50</v>
      </c>
      <c r="B17" s="44" t="s">
        <v>51</v>
      </c>
      <c r="C17" s="55"/>
      <c r="D17" s="55"/>
      <c r="E17" s="55"/>
      <c r="F17" s="55"/>
      <c r="G17" s="55"/>
      <c r="H17" s="55"/>
      <c r="I17" s="55"/>
      <c r="J17" s="55"/>
      <c r="K17" s="36"/>
    </row>
    <row r="18" spans="1:11" ht="25.9" customHeight="1">
      <c r="A18" s="12">
        <v>9</v>
      </c>
      <c r="B18" s="13" t="s">
        <v>52</v>
      </c>
      <c r="C18" s="13" t="s">
        <v>53</v>
      </c>
      <c r="D18" s="14">
        <v>1</v>
      </c>
      <c r="E18" s="14">
        <v>2</v>
      </c>
      <c r="F18" s="14">
        <v>3</v>
      </c>
      <c r="G18" s="14">
        <f>ROUND((D18+4*E18+F18)/6,1)</f>
        <v>2</v>
      </c>
      <c r="H18" s="14">
        <v>0</v>
      </c>
      <c r="I18" s="14">
        <f>G18+H18</f>
        <v>2</v>
      </c>
      <c r="J18" s="16" t="s">
        <v>45</v>
      </c>
      <c r="K18" s="37" t="s">
        <v>49</v>
      </c>
    </row>
    <row r="19" spans="1:11" ht="25.9" customHeight="1">
      <c r="A19" s="15">
        <v>10</v>
      </c>
      <c r="B19" s="16" t="s">
        <v>54</v>
      </c>
      <c r="C19" s="16" t="s">
        <v>55</v>
      </c>
      <c r="D19" s="17">
        <v>2</v>
      </c>
      <c r="E19" s="17">
        <v>3</v>
      </c>
      <c r="F19" s="17">
        <v>4</v>
      </c>
      <c r="G19" s="17">
        <f>ROUND((D19+4*E19+F19)/6,1)</f>
        <v>3</v>
      </c>
      <c r="H19" s="17">
        <v>0</v>
      </c>
      <c r="I19" s="17">
        <f>G19+H19</f>
        <v>3</v>
      </c>
      <c r="J19" s="16" t="s">
        <v>45</v>
      </c>
      <c r="K19" s="37" t="s">
        <v>56</v>
      </c>
    </row>
    <row r="20" spans="1:11" ht="25.9" customHeight="1">
      <c r="A20" s="12">
        <v>11</v>
      </c>
      <c r="B20" s="13" t="s">
        <v>57</v>
      </c>
      <c r="C20" s="13" t="s">
        <v>58</v>
      </c>
      <c r="D20" s="14">
        <v>1</v>
      </c>
      <c r="E20" s="14">
        <v>2</v>
      </c>
      <c r="F20" s="14">
        <v>3</v>
      </c>
      <c r="G20" s="14">
        <f>ROUND((D20+4*E20+F20)/6,1)</f>
        <v>2</v>
      </c>
      <c r="H20" s="14">
        <v>0</v>
      </c>
      <c r="I20" s="14">
        <f>G20+H20</f>
        <v>2</v>
      </c>
      <c r="J20" s="16" t="s">
        <v>45</v>
      </c>
      <c r="K20" s="37" t="s">
        <v>59</v>
      </c>
    </row>
    <row r="21" spans="1:11" ht="25.9" customHeight="1">
      <c r="A21" s="19" t="s">
        <v>60</v>
      </c>
      <c r="B21" s="44" t="s">
        <v>61</v>
      </c>
      <c r="C21" s="55"/>
      <c r="D21" s="55"/>
      <c r="E21" s="55"/>
      <c r="F21" s="55"/>
      <c r="G21" s="55"/>
      <c r="H21" s="55"/>
      <c r="I21" s="55"/>
      <c r="J21" s="55"/>
      <c r="K21" s="36"/>
    </row>
    <row r="22" spans="1:11" ht="25.9" customHeight="1">
      <c r="A22" s="12">
        <v>12</v>
      </c>
      <c r="B22" s="13" t="s">
        <v>62</v>
      </c>
      <c r="C22" s="13" t="s">
        <v>63</v>
      </c>
      <c r="D22" s="14">
        <v>1</v>
      </c>
      <c r="E22" s="14">
        <v>2</v>
      </c>
      <c r="F22" s="14">
        <v>3</v>
      </c>
      <c r="G22" s="14">
        <f t="shared" ref="G22:G28" si="2">ROUND((D22+4*E22+F22)/6,1)</f>
        <v>2</v>
      </c>
      <c r="H22" s="14">
        <v>0</v>
      </c>
      <c r="I22" s="14">
        <f t="shared" ref="I22:I28" si="3">G22+H22</f>
        <v>2</v>
      </c>
      <c r="J22" s="13" t="s">
        <v>64</v>
      </c>
      <c r="K22" s="37" t="s">
        <v>65</v>
      </c>
    </row>
    <row r="23" spans="1:11" ht="25.9" customHeight="1">
      <c r="A23" s="15">
        <v>13</v>
      </c>
      <c r="B23" s="16" t="s">
        <v>66</v>
      </c>
      <c r="C23" s="16" t="s">
        <v>67</v>
      </c>
      <c r="D23" s="17">
        <v>1</v>
      </c>
      <c r="E23" s="17">
        <v>2</v>
      </c>
      <c r="F23" s="17">
        <v>3</v>
      </c>
      <c r="G23" s="17">
        <f t="shared" si="2"/>
        <v>2</v>
      </c>
      <c r="H23" s="17">
        <v>0</v>
      </c>
      <c r="I23" s="17">
        <f t="shared" si="3"/>
        <v>2</v>
      </c>
      <c r="J23" s="13" t="s">
        <v>64</v>
      </c>
      <c r="K23" s="37" t="s">
        <v>65</v>
      </c>
    </row>
    <row r="24" spans="1:11" ht="25.9" customHeight="1">
      <c r="A24" s="12">
        <v>14</v>
      </c>
      <c r="B24" s="13" t="s">
        <v>68</v>
      </c>
      <c r="C24" s="13" t="s">
        <v>69</v>
      </c>
      <c r="D24" s="14">
        <v>2</v>
      </c>
      <c r="E24" s="14">
        <v>4</v>
      </c>
      <c r="F24" s="14">
        <v>5</v>
      </c>
      <c r="G24" s="14">
        <f t="shared" si="2"/>
        <v>3.8</v>
      </c>
      <c r="H24" s="14">
        <v>0</v>
      </c>
      <c r="I24" s="14">
        <f t="shared" si="3"/>
        <v>3.8</v>
      </c>
      <c r="J24" s="13" t="s">
        <v>64</v>
      </c>
      <c r="K24" s="37" t="s">
        <v>65</v>
      </c>
    </row>
    <row r="25" spans="1:11" ht="25.9" customHeight="1">
      <c r="A25" s="15">
        <v>15</v>
      </c>
      <c r="B25" s="16" t="s">
        <v>70</v>
      </c>
      <c r="C25" s="16" t="s">
        <v>71</v>
      </c>
      <c r="D25" s="17">
        <v>2</v>
      </c>
      <c r="E25" s="17">
        <v>3</v>
      </c>
      <c r="F25" s="17">
        <v>4</v>
      </c>
      <c r="G25" s="17">
        <f t="shared" si="2"/>
        <v>3</v>
      </c>
      <c r="H25" s="17">
        <v>0</v>
      </c>
      <c r="I25" s="17">
        <f t="shared" si="3"/>
        <v>3</v>
      </c>
      <c r="J25" s="16" t="s">
        <v>34</v>
      </c>
      <c r="K25" s="37" t="s">
        <v>65</v>
      </c>
    </row>
    <row r="26" spans="1:11" ht="25.9" customHeight="1">
      <c r="A26" s="12">
        <v>16</v>
      </c>
      <c r="B26" s="13" t="s">
        <v>72</v>
      </c>
      <c r="C26" s="13" t="s">
        <v>73</v>
      </c>
      <c r="D26" s="14">
        <v>1</v>
      </c>
      <c r="E26" s="14">
        <v>2</v>
      </c>
      <c r="F26" s="14">
        <v>3</v>
      </c>
      <c r="G26" s="14">
        <f t="shared" si="2"/>
        <v>2</v>
      </c>
      <c r="H26" s="14">
        <v>0</v>
      </c>
      <c r="I26" s="14">
        <f t="shared" si="3"/>
        <v>2</v>
      </c>
      <c r="J26" s="16" t="s">
        <v>34</v>
      </c>
      <c r="K26" s="37" t="s">
        <v>65</v>
      </c>
    </row>
    <row r="27" spans="1:11" ht="25.9" customHeight="1">
      <c r="A27" s="15">
        <v>17</v>
      </c>
      <c r="B27" s="16" t="s">
        <v>74</v>
      </c>
      <c r="C27" s="16" t="s">
        <v>75</v>
      </c>
      <c r="D27" s="17">
        <v>2</v>
      </c>
      <c r="E27" s="17">
        <v>3</v>
      </c>
      <c r="F27" s="17">
        <v>4</v>
      </c>
      <c r="G27" s="17">
        <f t="shared" si="2"/>
        <v>3</v>
      </c>
      <c r="H27" s="17">
        <v>0</v>
      </c>
      <c r="I27" s="17">
        <f t="shared" si="3"/>
        <v>3</v>
      </c>
      <c r="J27" s="16" t="s">
        <v>34</v>
      </c>
      <c r="K27" s="37" t="s">
        <v>65</v>
      </c>
    </row>
    <row r="28" spans="1:11" ht="25.9" customHeight="1">
      <c r="A28" s="12">
        <v>18</v>
      </c>
      <c r="B28" s="13" t="s">
        <v>76</v>
      </c>
      <c r="C28" s="13" t="s">
        <v>77</v>
      </c>
      <c r="D28" s="14">
        <v>2</v>
      </c>
      <c r="E28" s="14">
        <v>3</v>
      </c>
      <c r="F28" s="14">
        <v>5</v>
      </c>
      <c r="G28" s="14">
        <f t="shared" si="2"/>
        <v>3.2</v>
      </c>
      <c r="H28" s="14">
        <v>0</v>
      </c>
      <c r="I28" s="14">
        <f t="shared" si="3"/>
        <v>3.2</v>
      </c>
      <c r="J28" s="16" t="s">
        <v>34</v>
      </c>
      <c r="K28" s="37" t="s">
        <v>78</v>
      </c>
    </row>
    <row r="29" spans="1:11" ht="25.9" customHeight="1">
      <c r="A29" s="19" t="s">
        <v>79</v>
      </c>
      <c r="B29" s="44" t="s">
        <v>80</v>
      </c>
      <c r="C29" s="55"/>
      <c r="D29" s="55"/>
      <c r="E29" s="55"/>
      <c r="F29" s="55"/>
      <c r="G29" s="55"/>
      <c r="H29" s="55"/>
      <c r="I29" s="55"/>
      <c r="J29" s="55"/>
      <c r="K29" s="36"/>
    </row>
    <row r="30" spans="1:11" ht="25.9" customHeight="1">
      <c r="A30" s="12">
        <v>19</v>
      </c>
      <c r="B30" s="13" t="s">
        <v>81</v>
      </c>
      <c r="C30" s="13" t="s">
        <v>82</v>
      </c>
      <c r="D30" s="14">
        <v>1</v>
      </c>
      <c r="E30" s="14">
        <v>2</v>
      </c>
      <c r="F30" s="14">
        <v>3</v>
      </c>
      <c r="G30" s="14">
        <f t="shared" ref="G30:G35" si="4">ROUND((D30+4*E30+F30)/6,1)</f>
        <v>2</v>
      </c>
      <c r="H30" s="14">
        <v>0</v>
      </c>
      <c r="I30" s="14">
        <f t="shared" ref="I30:I35" si="5">G30+H30</f>
        <v>2</v>
      </c>
      <c r="J30" s="13" t="s">
        <v>64</v>
      </c>
      <c r="K30" s="37" t="s">
        <v>83</v>
      </c>
    </row>
    <row r="31" spans="1:11" ht="25.9" customHeight="1">
      <c r="A31" s="15">
        <v>20</v>
      </c>
      <c r="B31" s="16" t="s">
        <v>84</v>
      </c>
      <c r="C31" s="16" t="s">
        <v>85</v>
      </c>
      <c r="D31" s="17">
        <v>1</v>
      </c>
      <c r="E31" s="17">
        <v>2</v>
      </c>
      <c r="F31" s="17">
        <v>3</v>
      </c>
      <c r="G31" s="17">
        <f t="shared" si="4"/>
        <v>2</v>
      </c>
      <c r="H31" s="17">
        <v>0</v>
      </c>
      <c r="I31" s="17">
        <f t="shared" si="5"/>
        <v>2</v>
      </c>
      <c r="J31" s="13" t="s">
        <v>64</v>
      </c>
      <c r="K31" s="37" t="s">
        <v>86</v>
      </c>
    </row>
    <row r="32" spans="1:11" ht="25.9" customHeight="1">
      <c r="A32" s="12">
        <v>21</v>
      </c>
      <c r="B32" s="13" t="s">
        <v>87</v>
      </c>
      <c r="C32" s="13" t="s">
        <v>88</v>
      </c>
      <c r="D32" s="14">
        <v>2</v>
      </c>
      <c r="E32" s="14">
        <v>3</v>
      </c>
      <c r="F32" s="14">
        <v>5</v>
      </c>
      <c r="G32" s="14">
        <f t="shared" si="4"/>
        <v>3.2</v>
      </c>
      <c r="H32" s="14">
        <v>0</v>
      </c>
      <c r="I32" s="14">
        <f t="shared" si="5"/>
        <v>3.2</v>
      </c>
      <c r="J32" s="13" t="s">
        <v>64</v>
      </c>
      <c r="K32" s="37" t="s">
        <v>89</v>
      </c>
    </row>
    <row r="33" spans="1:11" ht="25.9" customHeight="1">
      <c r="A33" s="15">
        <v>22</v>
      </c>
      <c r="B33" s="16" t="s">
        <v>90</v>
      </c>
      <c r="C33" s="16" t="s">
        <v>91</v>
      </c>
      <c r="D33" s="17">
        <v>2</v>
      </c>
      <c r="E33" s="17">
        <v>3</v>
      </c>
      <c r="F33" s="17">
        <v>4</v>
      </c>
      <c r="G33" s="17">
        <f t="shared" si="4"/>
        <v>3</v>
      </c>
      <c r="H33" s="17">
        <v>0</v>
      </c>
      <c r="I33" s="17">
        <f t="shared" si="5"/>
        <v>3</v>
      </c>
      <c r="J33" s="13" t="s">
        <v>64</v>
      </c>
      <c r="K33" s="37" t="s">
        <v>92</v>
      </c>
    </row>
    <row r="34" spans="1:11" ht="25.9" customHeight="1">
      <c r="A34" s="12">
        <v>23</v>
      </c>
      <c r="B34" s="13" t="s">
        <v>93</v>
      </c>
      <c r="C34" s="13" t="s">
        <v>94</v>
      </c>
      <c r="D34" s="14">
        <v>1</v>
      </c>
      <c r="E34" s="14">
        <v>2</v>
      </c>
      <c r="F34" s="14">
        <v>3</v>
      </c>
      <c r="G34" s="14">
        <f t="shared" si="4"/>
        <v>2</v>
      </c>
      <c r="H34" s="14">
        <v>0</v>
      </c>
      <c r="I34" s="14">
        <f t="shared" si="5"/>
        <v>2</v>
      </c>
      <c r="J34" s="16" t="s">
        <v>34</v>
      </c>
      <c r="K34" s="37" t="s">
        <v>95</v>
      </c>
    </row>
    <row r="35" spans="1:11" ht="25.9" customHeight="1">
      <c r="A35" s="15">
        <v>24</v>
      </c>
      <c r="B35" s="16" t="s">
        <v>96</v>
      </c>
      <c r="C35" s="16" t="s">
        <v>97</v>
      </c>
      <c r="D35" s="17">
        <v>1</v>
      </c>
      <c r="E35" s="17">
        <v>2</v>
      </c>
      <c r="F35" s="17">
        <v>3</v>
      </c>
      <c r="G35" s="17">
        <f t="shared" si="4"/>
        <v>2</v>
      </c>
      <c r="H35" s="17">
        <v>0</v>
      </c>
      <c r="I35" s="17">
        <f t="shared" si="5"/>
        <v>2</v>
      </c>
      <c r="J35" s="16" t="s">
        <v>34</v>
      </c>
      <c r="K35" s="37" t="s">
        <v>98</v>
      </c>
    </row>
    <row r="36" spans="1:11" ht="25.9" customHeight="1">
      <c r="A36" s="19" t="s">
        <v>99</v>
      </c>
      <c r="B36" s="44" t="s">
        <v>100</v>
      </c>
      <c r="C36" s="55"/>
      <c r="D36" s="55"/>
      <c r="E36" s="55"/>
      <c r="F36" s="55"/>
      <c r="G36" s="55"/>
      <c r="H36" s="55"/>
      <c r="I36" s="55"/>
      <c r="J36" s="55"/>
      <c r="K36" s="36"/>
    </row>
    <row r="37" spans="1:11" ht="25.9" customHeight="1">
      <c r="A37" s="15">
        <v>25</v>
      </c>
      <c r="B37" s="16" t="s">
        <v>101</v>
      </c>
      <c r="C37" s="16" t="s">
        <v>102</v>
      </c>
      <c r="D37" s="17">
        <v>1</v>
      </c>
      <c r="E37" s="17">
        <v>2</v>
      </c>
      <c r="F37" s="17">
        <v>2</v>
      </c>
      <c r="G37" s="17">
        <f t="shared" ref="G37:G42" si="6">ROUND((D37+4*E37+F37)/6,1)</f>
        <v>1.8</v>
      </c>
      <c r="H37" s="17">
        <v>0</v>
      </c>
      <c r="I37" s="17">
        <f t="shared" ref="I37:I42" si="7">G37+H37</f>
        <v>1.8</v>
      </c>
      <c r="J37" s="16" t="s">
        <v>64</v>
      </c>
      <c r="K37" s="37" t="s">
        <v>103</v>
      </c>
    </row>
    <row r="38" spans="1:11" ht="25.9" customHeight="1">
      <c r="A38" s="12">
        <v>26</v>
      </c>
      <c r="B38" s="13" t="s">
        <v>104</v>
      </c>
      <c r="C38" s="13" t="s">
        <v>105</v>
      </c>
      <c r="D38" s="14">
        <v>1</v>
      </c>
      <c r="E38" s="14">
        <v>2</v>
      </c>
      <c r="F38" s="14">
        <v>3</v>
      </c>
      <c r="G38" s="14">
        <f t="shared" si="6"/>
        <v>2</v>
      </c>
      <c r="H38" s="14">
        <v>0</v>
      </c>
      <c r="I38" s="14">
        <f t="shared" si="7"/>
        <v>2</v>
      </c>
      <c r="J38" s="16" t="s">
        <v>64</v>
      </c>
      <c r="K38" s="37" t="s">
        <v>106</v>
      </c>
    </row>
    <row r="39" spans="1:11" ht="25.9" customHeight="1">
      <c r="A39" s="15">
        <v>27</v>
      </c>
      <c r="B39" s="16" t="s">
        <v>107</v>
      </c>
      <c r="C39" s="16" t="s">
        <v>108</v>
      </c>
      <c r="D39" s="17">
        <v>2</v>
      </c>
      <c r="E39" s="17">
        <v>3</v>
      </c>
      <c r="F39" s="17">
        <v>4</v>
      </c>
      <c r="G39" s="17">
        <f t="shared" si="6"/>
        <v>3</v>
      </c>
      <c r="H39" s="17">
        <v>0</v>
      </c>
      <c r="I39" s="17">
        <f t="shared" si="7"/>
        <v>3</v>
      </c>
      <c r="J39" s="16" t="s">
        <v>64</v>
      </c>
      <c r="K39" s="37" t="s">
        <v>109</v>
      </c>
    </row>
    <row r="40" spans="1:11" ht="25.9" customHeight="1">
      <c r="A40" s="12">
        <v>28</v>
      </c>
      <c r="B40" s="13" t="s">
        <v>110</v>
      </c>
      <c r="C40" s="13" t="s">
        <v>111</v>
      </c>
      <c r="D40" s="14">
        <v>2</v>
      </c>
      <c r="E40" s="14">
        <v>3</v>
      </c>
      <c r="F40" s="14">
        <v>4</v>
      </c>
      <c r="G40" s="14">
        <f t="shared" si="6"/>
        <v>3</v>
      </c>
      <c r="H40" s="14">
        <v>0</v>
      </c>
      <c r="I40" s="14">
        <f t="shared" si="7"/>
        <v>3</v>
      </c>
      <c r="J40" s="16" t="s">
        <v>64</v>
      </c>
      <c r="K40" s="37" t="s">
        <v>112</v>
      </c>
    </row>
    <row r="41" spans="1:11" ht="25.9" customHeight="1">
      <c r="A41" s="15">
        <v>29</v>
      </c>
      <c r="B41" s="16" t="s">
        <v>113</v>
      </c>
      <c r="C41" s="16" t="s">
        <v>114</v>
      </c>
      <c r="D41" s="17">
        <v>1</v>
      </c>
      <c r="E41" s="17">
        <v>2</v>
      </c>
      <c r="F41" s="17">
        <v>2</v>
      </c>
      <c r="G41" s="17">
        <f t="shared" si="6"/>
        <v>1.8</v>
      </c>
      <c r="H41" s="17">
        <v>0</v>
      </c>
      <c r="I41" s="17">
        <f t="shared" si="7"/>
        <v>1.8</v>
      </c>
      <c r="J41" s="16" t="s">
        <v>34</v>
      </c>
      <c r="K41" s="37" t="s">
        <v>115</v>
      </c>
    </row>
    <row r="42" spans="1:11" ht="25.9" customHeight="1">
      <c r="A42" s="12">
        <v>30</v>
      </c>
      <c r="B42" s="13" t="s">
        <v>116</v>
      </c>
      <c r="C42" s="13" t="s">
        <v>117</v>
      </c>
      <c r="D42" s="14">
        <v>1</v>
      </c>
      <c r="E42" s="14">
        <v>2</v>
      </c>
      <c r="F42" s="14">
        <v>3</v>
      </c>
      <c r="G42" s="14">
        <f t="shared" si="6"/>
        <v>2</v>
      </c>
      <c r="H42" s="14">
        <v>0</v>
      </c>
      <c r="I42" s="14">
        <f t="shared" si="7"/>
        <v>2</v>
      </c>
      <c r="J42" s="16" t="s">
        <v>34</v>
      </c>
      <c r="K42" s="37" t="s">
        <v>118</v>
      </c>
    </row>
    <row r="43" spans="1:11" ht="25.9" customHeight="1">
      <c r="A43" s="9" t="s">
        <v>119</v>
      </c>
      <c r="B43" s="10" t="s">
        <v>120</v>
      </c>
      <c r="C43" s="10" t="s">
        <v>121</v>
      </c>
      <c r="D43" s="18"/>
      <c r="E43" s="18"/>
      <c r="F43" s="18"/>
      <c r="G43" s="18"/>
      <c r="H43" s="18"/>
      <c r="I43" s="18"/>
      <c r="J43" s="10" t="s">
        <v>122</v>
      </c>
      <c r="K43" s="36"/>
    </row>
    <row r="44" spans="1:11" ht="25.9" customHeight="1">
      <c r="A44" s="12">
        <v>31</v>
      </c>
      <c r="B44" s="13" t="s">
        <v>123</v>
      </c>
      <c r="C44" s="13" t="s">
        <v>124</v>
      </c>
      <c r="D44" s="14">
        <v>2</v>
      </c>
      <c r="E44" s="14">
        <v>4</v>
      </c>
      <c r="F44" s="14">
        <v>5</v>
      </c>
      <c r="G44" s="14">
        <f>ROUND((D44+4*E44+F44)/6,1)</f>
        <v>3.8</v>
      </c>
      <c r="H44" s="14">
        <v>0</v>
      </c>
      <c r="I44" s="14">
        <f>G44+H44</f>
        <v>3.8</v>
      </c>
      <c r="J44" s="13" t="s">
        <v>122</v>
      </c>
      <c r="K44" s="37" t="s">
        <v>125</v>
      </c>
    </row>
    <row r="45" spans="1:11" ht="25.9" customHeight="1">
      <c r="A45" s="15">
        <v>32</v>
      </c>
      <c r="B45" s="16" t="s">
        <v>126</v>
      </c>
      <c r="C45" s="16" t="s">
        <v>127</v>
      </c>
      <c r="D45" s="17">
        <v>2</v>
      </c>
      <c r="E45" s="17">
        <v>3</v>
      </c>
      <c r="F45" s="17">
        <v>4</v>
      </c>
      <c r="G45" s="17">
        <f>ROUND((D45+4*E45+F45)/6,1)</f>
        <v>3</v>
      </c>
      <c r="H45" s="17">
        <v>0</v>
      </c>
      <c r="I45" s="17">
        <f>G45+H45</f>
        <v>3</v>
      </c>
      <c r="J45" s="16" t="s">
        <v>122</v>
      </c>
      <c r="K45" s="37" t="s">
        <v>128</v>
      </c>
    </row>
    <row r="46" spans="1:11" ht="25.9" customHeight="1">
      <c r="A46" s="12">
        <v>33</v>
      </c>
      <c r="B46" s="13" t="s">
        <v>129</v>
      </c>
      <c r="C46" s="13" t="s">
        <v>130</v>
      </c>
      <c r="D46" s="14">
        <v>1</v>
      </c>
      <c r="E46" s="14">
        <v>1</v>
      </c>
      <c r="F46" s="14">
        <v>2</v>
      </c>
      <c r="G46" s="14">
        <f>ROUND((D46+4*E46+F46)/6,1)</f>
        <v>1.2</v>
      </c>
      <c r="H46" s="14">
        <v>0</v>
      </c>
      <c r="I46" s="14">
        <f>G46+H46</f>
        <v>1.2</v>
      </c>
      <c r="J46" s="13" t="s">
        <v>131</v>
      </c>
      <c r="K46" s="37" t="s">
        <v>132</v>
      </c>
    </row>
    <row r="47" spans="1:11" ht="25.9" customHeight="1">
      <c r="A47" s="15">
        <v>34</v>
      </c>
      <c r="B47" s="16" t="s">
        <v>133</v>
      </c>
      <c r="C47" s="16" t="s">
        <v>134</v>
      </c>
      <c r="D47" s="17">
        <v>1</v>
      </c>
      <c r="E47" s="17">
        <v>2</v>
      </c>
      <c r="F47" s="17">
        <v>3</v>
      </c>
      <c r="G47" s="17">
        <f>ROUND((D47+4*E47+F47)/6,1)</f>
        <v>2</v>
      </c>
      <c r="H47" s="17">
        <v>0</v>
      </c>
      <c r="I47" s="17">
        <f>G47+H47</f>
        <v>2</v>
      </c>
      <c r="J47" s="16" t="s">
        <v>122</v>
      </c>
      <c r="K47" s="37" t="s">
        <v>135</v>
      </c>
    </row>
    <row r="48" spans="1:11" ht="29.1" customHeight="1">
      <c r="A48" s="9" t="s">
        <v>136</v>
      </c>
      <c r="B48" s="10" t="s">
        <v>137</v>
      </c>
      <c r="C48" s="10" t="s">
        <v>138</v>
      </c>
      <c r="D48" s="18"/>
      <c r="E48" s="18"/>
      <c r="F48" s="18"/>
      <c r="G48" s="18"/>
      <c r="H48" s="18"/>
      <c r="I48" s="18"/>
      <c r="J48" s="10" t="s">
        <v>139</v>
      </c>
      <c r="K48" s="36"/>
    </row>
    <row r="49" spans="1:11" ht="25.9" customHeight="1">
      <c r="A49" s="15">
        <v>35</v>
      </c>
      <c r="B49" s="16" t="s">
        <v>140</v>
      </c>
      <c r="C49" s="16" t="s">
        <v>141</v>
      </c>
      <c r="D49" s="17">
        <v>2</v>
      </c>
      <c r="E49" s="17">
        <v>3</v>
      </c>
      <c r="F49" s="17">
        <v>5</v>
      </c>
      <c r="G49" s="17">
        <f>ROUND((D49+4*E49+F49)/6,1)</f>
        <v>3.2</v>
      </c>
      <c r="H49" s="17">
        <v>0</v>
      </c>
      <c r="I49" s="17">
        <f>G49+H49</f>
        <v>3.2</v>
      </c>
      <c r="J49" s="16" t="s">
        <v>21</v>
      </c>
      <c r="K49" s="37" t="s">
        <v>142</v>
      </c>
    </row>
    <row r="50" spans="1:11" ht="25.9" customHeight="1">
      <c r="A50" s="12">
        <v>36</v>
      </c>
      <c r="B50" s="13" t="s">
        <v>143</v>
      </c>
      <c r="C50" s="13" t="s">
        <v>144</v>
      </c>
      <c r="D50" s="14">
        <v>2</v>
      </c>
      <c r="E50" s="14">
        <v>3</v>
      </c>
      <c r="F50" s="14">
        <v>4</v>
      </c>
      <c r="G50" s="14">
        <f>ROUND((D50+4*E50+F50)/6,1)</f>
        <v>3</v>
      </c>
      <c r="H50" s="14">
        <v>0</v>
      </c>
      <c r="I50" s="14">
        <f>G50+H50</f>
        <v>3</v>
      </c>
      <c r="J50" s="13" t="s">
        <v>145</v>
      </c>
      <c r="K50" s="37" t="s">
        <v>146</v>
      </c>
    </row>
    <row r="51" spans="1:11" ht="25.9" customHeight="1">
      <c r="A51" s="15">
        <v>37</v>
      </c>
      <c r="B51" s="16" t="s">
        <v>147</v>
      </c>
      <c r="C51" s="16" t="s">
        <v>148</v>
      </c>
      <c r="D51" s="17">
        <v>2</v>
      </c>
      <c r="E51" s="17">
        <v>4</v>
      </c>
      <c r="F51" s="17">
        <v>5</v>
      </c>
      <c r="G51" s="17">
        <f>ROUND((D51+4*E51+F51)/6,1)</f>
        <v>3.8</v>
      </c>
      <c r="H51" s="17">
        <v>0</v>
      </c>
      <c r="I51" s="17">
        <f>G51+H51</f>
        <v>3.8</v>
      </c>
      <c r="J51" s="16" t="s">
        <v>145</v>
      </c>
      <c r="K51" s="37" t="s">
        <v>149</v>
      </c>
    </row>
    <row r="52" spans="1:11" ht="25.9" customHeight="1">
      <c r="A52" s="12">
        <v>38</v>
      </c>
      <c r="B52" s="13" t="s">
        <v>150</v>
      </c>
      <c r="C52" s="13" t="s">
        <v>151</v>
      </c>
      <c r="D52" s="14">
        <v>2</v>
      </c>
      <c r="E52" s="14">
        <v>3</v>
      </c>
      <c r="F52" s="14">
        <v>5</v>
      </c>
      <c r="G52" s="14">
        <f>ROUND((D52+4*E52+F52)/6,1)</f>
        <v>3.2</v>
      </c>
      <c r="H52" s="14">
        <v>0</v>
      </c>
      <c r="I52" s="14">
        <f>G52+H52</f>
        <v>3.2</v>
      </c>
      <c r="J52" s="13" t="s">
        <v>145</v>
      </c>
      <c r="K52" s="37" t="s">
        <v>152</v>
      </c>
    </row>
    <row r="53" spans="1:11" ht="25.9" customHeight="1">
      <c r="A53" s="19" t="s">
        <v>153</v>
      </c>
      <c r="B53" s="44" t="s">
        <v>154</v>
      </c>
      <c r="C53" s="55"/>
      <c r="D53" s="55"/>
      <c r="E53" s="55"/>
      <c r="F53" s="55"/>
      <c r="G53" s="55"/>
      <c r="H53" s="55"/>
      <c r="I53" s="55"/>
      <c r="J53" s="55"/>
      <c r="K53" s="36"/>
    </row>
    <row r="54" spans="1:11" ht="25.9" customHeight="1">
      <c r="A54" s="12">
        <v>39</v>
      </c>
      <c r="B54" s="13" t="s">
        <v>155</v>
      </c>
      <c r="C54" s="13" t="s">
        <v>156</v>
      </c>
      <c r="D54" s="14">
        <v>1</v>
      </c>
      <c r="E54" s="14">
        <v>2</v>
      </c>
      <c r="F54" s="14">
        <v>3</v>
      </c>
      <c r="G54" s="14">
        <f t="shared" ref="G54:G61" si="8">ROUND((D54+4*E54+F54)/6,1)</f>
        <v>2</v>
      </c>
      <c r="H54" s="14">
        <v>0</v>
      </c>
      <c r="I54" s="14">
        <f t="shared" ref="I54:I61" si="9">G54+H54</f>
        <v>2</v>
      </c>
      <c r="J54" s="13" t="s">
        <v>145</v>
      </c>
      <c r="K54" s="37" t="s">
        <v>157</v>
      </c>
    </row>
    <row r="55" spans="1:11" ht="25.9" customHeight="1">
      <c r="A55" s="15">
        <v>40</v>
      </c>
      <c r="B55" s="16" t="s">
        <v>158</v>
      </c>
      <c r="C55" s="16" t="s">
        <v>159</v>
      </c>
      <c r="D55" s="17">
        <v>2</v>
      </c>
      <c r="E55" s="17">
        <v>3</v>
      </c>
      <c r="F55" s="17">
        <v>4</v>
      </c>
      <c r="G55" s="17">
        <f t="shared" si="8"/>
        <v>3</v>
      </c>
      <c r="H55" s="17">
        <v>0</v>
      </c>
      <c r="I55" s="17">
        <f t="shared" si="9"/>
        <v>3</v>
      </c>
      <c r="J55" s="16" t="s">
        <v>122</v>
      </c>
      <c r="K55" s="37" t="s">
        <v>160</v>
      </c>
    </row>
    <row r="56" spans="1:11" ht="25.9" customHeight="1">
      <c r="A56" s="12">
        <v>41</v>
      </c>
      <c r="B56" s="13" t="s">
        <v>161</v>
      </c>
      <c r="C56" s="13" t="s">
        <v>162</v>
      </c>
      <c r="D56" s="14">
        <v>4</v>
      </c>
      <c r="E56" s="14">
        <v>7</v>
      </c>
      <c r="F56" s="14">
        <v>10</v>
      </c>
      <c r="G56" s="14">
        <f t="shared" si="8"/>
        <v>7</v>
      </c>
      <c r="H56" s="14">
        <v>0</v>
      </c>
      <c r="I56" s="14">
        <f t="shared" si="9"/>
        <v>7</v>
      </c>
      <c r="J56" s="13" t="s">
        <v>122</v>
      </c>
      <c r="K56" s="37" t="s">
        <v>163</v>
      </c>
    </row>
    <row r="57" spans="1:11" ht="25.9" customHeight="1">
      <c r="A57" s="15">
        <v>42</v>
      </c>
      <c r="B57" s="16" t="s">
        <v>164</v>
      </c>
      <c r="C57" s="16" t="s">
        <v>165</v>
      </c>
      <c r="D57" s="17">
        <v>3</v>
      </c>
      <c r="E57" s="17">
        <v>5</v>
      </c>
      <c r="F57" s="17">
        <v>7</v>
      </c>
      <c r="G57" s="17">
        <f t="shared" si="8"/>
        <v>5</v>
      </c>
      <c r="H57" s="17">
        <v>0</v>
      </c>
      <c r="I57" s="17">
        <f t="shared" si="9"/>
        <v>5</v>
      </c>
      <c r="J57" s="16" t="s">
        <v>166</v>
      </c>
      <c r="K57" s="37" t="s">
        <v>167</v>
      </c>
    </row>
    <row r="58" spans="1:11" ht="25.9" customHeight="1">
      <c r="A58" s="12">
        <v>43</v>
      </c>
      <c r="B58" s="13" t="s">
        <v>168</v>
      </c>
      <c r="C58" s="13" t="s">
        <v>169</v>
      </c>
      <c r="D58" s="14">
        <v>1</v>
      </c>
      <c r="E58" s="14">
        <v>2</v>
      </c>
      <c r="F58" s="14">
        <v>3</v>
      </c>
      <c r="G58" s="14">
        <f t="shared" si="8"/>
        <v>2</v>
      </c>
      <c r="H58" s="14">
        <v>0</v>
      </c>
      <c r="I58" s="14">
        <f t="shared" si="9"/>
        <v>2</v>
      </c>
      <c r="J58" s="13" t="s">
        <v>122</v>
      </c>
      <c r="K58" s="37" t="s">
        <v>170</v>
      </c>
    </row>
    <row r="59" spans="1:11" ht="25.9" customHeight="1">
      <c r="A59" s="15">
        <v>44</v>
      </c>
      <c r="B59" s="16" t="s">
        <v>171</v>
      </c>
      <c r="C59" s="16" t="s">
        <v>172</v>
      </c>
      <c r="D59" s="17">
        <v>2</v>
      </c>
      <c r="E59" s="17">
        <v>4</v>
      </c>
      <c r="F59" s="17">
        <v>5</v>
      </c>
      <c r="G59" s="17">
        <f t="shared" si="8"/>
        <v>3.8</v>
      </c>
      <c r="H59" s="17">
        <v>0</v>
      </c>
      <c r="I59" s="17">
        <f t="shared" si="9"/>
        <v>3.8</v>
      </c>
      <c r="J59" s="16" t="s">
        <v>173</v>
      </c>
      <c r="K59" s="37" t="s">
        <v>174</v>
      </c>
    </row>
    <row r="60" spans="1:11" ht="25.9" customHeight="1">
      <c r="A60" s="12">
        <v>45</v>
      </c>
      <c r="B60" s="13" t="s">
        <v>175</v>
      </c>
      <c r="C60" s="13" t="s">
        <v>176</v>
      </c>
      <c r="D60" s="14">
        <v>2</v>
      </c>
      <c r="E60" s="14">
        <v>3</v>
      </c>
      <c r="F60" s="14">
        <v>4</v>
      </c>
      <c r="G60" s="14">
        <f t="shared" si="8"/>
        <v>3</v>
      </c>
      <c r="H60" s="14">
        <v>0</v>
      </c>
      <c r="I60" s="14">
        <f t="shared" si="9"/>
        <v>3</v>
      </c>
      <c r="J60" s="13" t="s">
        <v>122</v>
      </c>
      <c r="K60" s="37" t="s">
        <v>177</v>
      </c>
    </row>
    <row r="61" spans="1:11" ht="25.9" customHeight="1">
      <c r="A61" s="15">
        <v>46</v>
      </c>
      <c r="B61" s="16" t="s">
        <v>178</v>
      </c>
      <c r="C61" s="16" t="s">
        <v>179</v>
      </c>
      <c r="D61" s="17">
        <v>1</v>
      </c>
      <c r="E61" s="17">
        <v>2</v>
      </c>
      <c r="F61" s="17">
        <v>3</v>
      </c>
      <c r="G61" s="17">
        <f t="shared" si="8"/>
        <v>2</v>
      </c>
      <c r="H61" s="17">
        <v>0</v>
      </c>
      <c r="I61" s="17">
        <f t="shared" si="9"/>
        <v>2</v>
      </c>
      <c r="J61" s="16" t="s">
        <v>64</v>
      </c>
      <c r="K61" s="37" t="s">
        <v>180</v>
      </c>
    </row>
    <row r="62" spans="1:11" ht="25.9" customHeight="1">
      <c r="A62" s="9" t="s">
        <v>181</v>
      </c>
      <c r="B62" s="10" t="s">
        <v>182</v>
      </c>
      <c r="C62" s="10" t="s">
        <v>183</v>
      </c>
      <c r="D62" s="18"/>
      <c r="E62" s="18"/>
      <c r="F62" s="18"/>
      <c r="G62" s="18"/>
      <c r="H62" s="18"/>
      <c r="I62" s="18"/>
      <c r="J62" s="10" t="s">
        <v>184</v>
      </c>
      <c r="K62" s="36"/>
    </row>
    <row r="63" spans="1:11" ht="25.9" customHeight="1">
      <c r="A63" s="19" t="s">
        <v>185</v>
      </c>
      <c r="B63" s="44" t="s">
        <v>186</v>
      </c>
      <c r="C63" s="55"/>
      <c r="D63" s="55"/>
      <c r="E63" s="55"/>
      <c r="F63" s="55"/>
      <c r="G63" s="55"/>
      <c r="H63" s="55"/>
      <c r="I63" s="55"/>
      <c r="J63" s="55"/>
      <c r="K63" s="36"/>
    </row>
    <row r="64" spans="1:11" ht="25.9" customHeight="1">
      <c r="A64" s="12">
        <v>47</v>
      </c>
      <c r="B64" s="13" t="s">
        <v>187</v>
      </c>
      <c r="C64" s="13" t="s">
        <v>188</v>
      </c>
      <c r="D64" s="14">
        <v>1</v>
      </c>
      <c r="E64" s="14">
        <v>2</v>
      </c>
      <c r="F64" s="14">
        <v>3</v>
      </c>
      <c r="G64" s="14">
        <f>ROUND((D64+4*E64+F64)/6,1)</f>
        <v>2</v>
      </c>
      <c r="H64" s="14">
        <v>0</v>
      </c>
      <c r="I64" s="14">
        <f>G64+H64</f>
        <v>2</v>
      </c>
      <c r="J64" s="13" t="s">
        <v>45</v>
      </c>
      <c r="K64" s="37" t="s">
        <v>189</v>
      </c>
    </row>
    <row r="65" spans="1:11" ht="25.9" customHeight="1">
      <c r="A65" s="15">
        <v>48</v>
      </c>
      <c r="B65" s="16" t="s">
        <v>190</v>
      </c>
      <c r="C65" s="16" t="s">
        <v>191</v>
      </c>
      <c r="D65" s="17">
        <v>2</v>
      </c>
      <c r="E65" s="17">
        <v>3</v>
      </c>
      <c r="F65" s="17">
        <v>5</v>
      </c>
      <c r="G65" s="17">
        <f>ROUND((D65+4*E65+F65)/6,1)</f>
        <v>3.2</v>
      </c>
      <c r="H65" s="17">
        <v>0</v>
      </c>
      <c r="I65" s="17">
        <f>G65+H65</f>
        <v>3.2</v>
      </c>
      <c r="J65" s="16" t="s">
        <v>45</v>
      </c>
      <c r="K65" s="37" t="s">
        <v>192</v>
      </c>
    </row>
    <row r="66" spans="1:11" ht="25.9" customHeight="1">
      <c r="A66" s="12">
        <v>49</v>
      </c>
      <c r="B66" s="13" t="s">
        <v>193</v>
      </c>
      <c r="C66" s="13" t="s">
        <v>194</v>
      </c>
      <c r="D66" s="14">
        <v>2</v>
      </c>
      <c r="E66" s="14">
        <v>4</v>
      </c>
      <c r="F66" s="14">
        <v>5</v>
      </c>
      <c r="G66" s="14">
        <f>ROUND((D66+4*E66+F66)/6,1)</f>
        <v>3.8</v>
      </c>
      <c r="H66" s="14">
        <v>0</v>
      </c>
      <c r="I66" s="14">
        <f>G66+H66</f>
        <v>3.8</v>
      </c>
      <c r="J66" s="13" t="s">
        <v>184</v>
      </c>
      <c r="K66" s="37" t="s">
        <v>195</v>
      </c>
    </row>
    <row r="67" spans="1:11" ht="25.9" customHeight="1">
      <c r="A67" s="15">
        <v>50</v>
      </c>
      <c r="B67" s="16" t="s">
        <v>196</v>
      </c>
      <c r="C67" s="16" t="s">
        <v>197</v>
      </c>
      <c r="D67" s="17">
        <v>2</v>
      </c>
      <c r="E67" s="17">
        <v>3</v>
      </c>
      <c r="F67" s="17">
        <v>4</v>
      </c>
      <c r="G67" s="17">
        <f>ROUND((D67+4*E67+F67)/6,1)</f>
        <v>3</v>
      </c>
      <c r="H67" s="17">
        <v>0</v>
      </c>
      <c r="I67" s="17">
        <f>G67+H67</f>
        <v>3</v>
      </c>
      <c r="J67" s="16" t="s">
        <v>173</v>
      </c>
      <c r="K67" s="37" t="s">
        <v>198</v>
      </c>
    </row>
    <row r="68" spans="1:11" ht="25.9" customHeight="1">
      <c r="A68" s="9" t="s">
        <v>199</v>
      </c>
      <c r="B68" s="10" t="s">
        <v>200</v>
      </c>
      <c r="C68" s="10" t="s">
        <v>201</v>
      </c>
      <c r="D68" s="18"/>
      <c r="E68" s="18"/>
      <c r="F68" s="18"/>
      <c r="G68" s="18"/>
      <c r="H68" s="18"/>
      <c r="I68" s="18"/>
      <c r="J68" s="10" t="s">
        <v>202</v>
      </c>
      <c r="K68" s="36"/>
    </row>
    <row r="69" spans="1:11" ht="25.9" customHeight="1">
      <c r="A69" s="15">
        <v>51</v>
      </c>
      <c r="B69" s="16" t="s">
        <v>203</v>
      </c>
      <c r="C69" s="16" t="s">
        <v>204</v>
      </c>
      <c r="D69" s="17">
        <v>1</v>
      </c>
      <c r="E69" s="17">
        <v>2</v>
      </c>
      <c r="F69" s="17">
        <v>2</v>
      </c>
      <c r="G69" s="17">
        <f>ROUND((D69+4*E69+F69)/6,1)</f>
        <v>1.8</v>
      </c>
      <c r="H69" s="17">
        <v>0</v>
      </c>
      <c r="I69" s="17">
        <f>G69+H69</f>
        <v>1.8</v>
      </c>
      <c r="J69" s="16" t="s">
        <v>45</v>
      </c>
      <c r="K69" s="37" t="s">
        <v>205</v>
      </c>
    </row>
    <row r="70" spans="1:11" ht="25.9" customHeight="1">
      <c r="A70" s="12">
        <v>52</v>
      </c>
      <c r="B70" s="13" t="s">
        <v>206</v>
      </c>
      <c r="C70" s="13" t="s">
        <v>207</v>
      </c>
      <c r="D70" s="14">
        <v>1</v>
      </c>
      <c r="E70" s="14">
        <v>2</v>
      </c>
      <c r="F70" s="14">
        <v>3</v>
      </c>
      <c r="G70" s="14">
        <f>ROUND((D70+4*E70+F70)/6,1)</f>
        <v>2</v>
      </c>
      <c r="H70" s="14">
        <v>0</v>
      </c>
      <c r="I70" s="14">
        <f>G70+H70</f>
        <v>2</v>
      </c>
      <c r="J70" s="13" t="s">
        <v>208</v>
      </c>
      <c r="K70" s="37" t="s">
        <v>209</v>
      </c>
    </row>
    <row r="71" spans="1:11" ht="25.9" customHeight="1">
      <c r="A71" s="15">
        <v>53</v>
      </c>
      <c r="B71" s="16" t="s">
        <v>210</v>
      </c>
      <c r="C71" s="16" t="s">
        <v>211</v>
      </c>
      <c r="D71" s="17">
        <v>2</v>
      </c>
      <c r="E71" s="17">
        <v>3</v>
      </c>
      <c r="F71" s="17">
        <v>4</v>
      </c>
      <c r="G71" s="17">
        <f>ROUND((D71+4*E71+F71)/6,1)</f>
        <v>3</v>
      </c>
      <c r="H71" s="17">
        <v>0</v>
      </c>
      <c r="I71" s="17">
        <f>G71+H71</f>
        <v>3</v>
      </c>
      <c r="J71" s="13" t="s">
        <v>212</v>
      </c>
      <c r="K71" s="37" t="s">
        <v>213</v>
      </c>
    </row>
    <row r="72" spans="1:11" ht="25.9" customHeight="1">
      <c r="A72" s="12">
        <v>54</v>
      </c>
      <c r="B72" s="13" t="s">
        <v>214</v>
      </c>
      <c r="C72" s="13" t="s">
        <v>215</v>
      </c>
      <c r="D72" s="14">
        <v>1</v>
      </c>
      <c r="E72" s="14">
        <v>1</v>
      </c>
      <c r="F72" s="14">
        <v>2</v>
      </c>
      <c r="G72" s="14">
        <f>ROUND((D72+4*E72+F72)/6,1)</f>
        <v>1.2</v>
      </c>
      <c r="H72" s="14">
        <v>0</v>
      </c>
      <c r="I72" s="14">
        <f>G72+H72</f>
        <v>1.2</v>
      </c>
      <c r="J72" s="13" t="s">
        <v>21</v>
      </c>
      <c r="K72" s="37" t="s">
        <v>216</v>
      </c>
    </row>
    <row r="73" spans="1:11" ht="25.9" customHeight="1">
      <c r="A73" s="15">
        <v>55</v>
      </c>
      <c r="B73" s="16" t="s">
        <v>217</v>
      </c>
      <c r="C73" s="16" t="s">
        <v>218</v>
      </c>
      <c r="D73" s="17">
        <v>1</v>
      </c>
      <c r="E73" s="17">
        <v>2</v>
      </c>
      <c r="F73" s="17">
        <v>3</v>
      </c>
      <c r="G73" s="17">
        <f>ROUND((D73+4*E73+F73)/6,1)</f>
        <v>2</v>
      </c>
      <c r="H73" s="17">
        <v>0</v>
      </c>
      <c r="I73" s="17">
        <f>G73+H73</f>
        <v>2</v>
      </c>
      <c r="J73" s="16" t="s">
        <v>45</v>
      </c>
      <c r="K73" s="37" t="s">
        <v>219</v>
      </c>
    </row>
    <row r="74" spans="1:11" ht="25.9" customHeight="1">
      <c r="A74" s="11"/>
      <c r="B74" s="10" t="s">
        <v>220</v>
      </c>
      <c r="C74" s="11"/>
      <c r="D74" s="11"/>
      <c r="E74" s="11"/>
      <c r="F74" s="11"/>
      <c r="G74" s="20">
        <f>SUM(G7:G73)</f>
        <v>146.4</v>
      </c>
      <c r="H74" s="20">
        <f>SUM(H7:H73)</f>
        <v>0</v>
      </c>
      <c r="I74" s="20">
        <f>SUM(I7:I73)</f>
        <v>146.4</v>
      </c>
      <c r="J74" s="11"/>
      <c r="K74" s="36"/>
    </row>
  </sheetData>
  <mergeCells count="16">
    <mergeCell ref="B21:J21"/>
    <mergeCell ref="B29:J29"/>
    <mergeCell ref="B63:J63"/>
    <mergeCell ref="I5:I6"/>
    <mergeCell ref="B36:J36"/>
    <mergeCell ref="B17:J17"/>
    <mergeCell ref="B53:J53"/>
    <mergeCell ref="K5:K6"/>
    <mergeCell ref="A2:J2"/>
    <mergeCell ref="A5:A6"/>
    <mergeCell ref="A3:J3"/>
    <mergeCell ref="D5:G5"/>
    <mergeCell ref="B5:B6"/>
    <mergeCell ref="H5:H6"/>
    <mergeCell ref="J5:J6"/>
    <mergeCell ref="C5:C6"/>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zoomScale="83" zoomScaleNormal="83" workbookViewId="0">
      <selection activeCell="D25" sqref="D25"/>
    </sheetView>
  </sheetViews>
  <sheetFormatPr defaultColWidth="9.25" defaultRowHeight="16.149999999999999"/>
  <cols>
    <col min="1" max="1" width="31.875" style="21" bestFit="1" customWidth="1"/>
    <col min="2" max="2" width="25.25" style="21" bestFit="1" customWidth="1"/>
    <col min="3" max="3" width="18.25" style="21" bestFit="1" customWidth="1"/>
    <col min="4" max="4" width="35.25" style="21" bestFit="1" customWidth="1"/>
    <col min="5" max="5" width="20.5" style="21" customWidth="1"/>
    <col min="6" max="6" width="31.5" style="21" bestFit="1" customWidth="1"/>
    <col min="7" max="7" width="9.25" style="1" customWidth="1"/>
    <col min="8" max="16384" width="9.25" style="1"/>
  </cols>
  <sheetData>
    <row r="1" spans="1:10" s="5" customFormat="1" ht="15.75">
      <c r="A1" s="4" t="s">
        <v>0</v>
      </c>
      <c r="B1" s="4"/>
      <c r="C1" s="4"/>
      <c r="D1" s="4"/>
      <c r="E1" s="4"/>
      <c r="F1" s="4"/>
      <c r="G1" s="4"/>
      <c r="H1" s="4"/>
      <c r="I1" s="4"/>
      <c r="J1" s="4"/>
    </row>
    <row r="2" spans="1:10" s="5" customFormat="1" ht="15.75">
      <c r="A2" s="40" t="s">
        <v>1</v>
      </c>
      <c r="B2" s="54"/>
      <c r="C2" s="54"/>
      <c r="D2" s="54"/>
      <c r="E2" s="54"/>
      <c r="F2" s="54"/>
      <c r="G2" s="54"/>
      <c r="H2" s="54"/>
      <c r="I2" s="54"/>
      <c r="J2" s="54"/>
    </row>
    <row r="3" spans="1:10" s="5" customFormat="1" ht="15.75">
      <c r="A3" s="42" t="s">
        <v>2</v>
      </c>
      <c r="B3" s="54"/>
      <c r="C3" s="54"/>
      <c r="D3" s="54"/>
      <c r="E3" s="54"/>
      <c r="F3" s="54"/>
      <c r="G3" s="54"/>
      <c r="H3" s="54"/>
      <c r="I3" s="54"/>
      <c r="J3" s="54"/>
    </row>
    <row r="4" spans="1:10">
      <c r="A4" s="52" t="s">
        <v>221</v>
      </c>
      <c r="B4" s="57"/>
      <c r="C4" s="57"/>
      <c r="D4" s="57"/>
      <c r="E4" s="7"/>
      <c r="F4" s="7"/>
      <c r="G4" s="3"/>
      <c r="H4" s="3"/>
      <c r="I4" s="3"/>
    </row>
    <row r="5" spans="1:10" ht="16.149999999999999" customHeight="1">
      <c r="A5" s="4" t="s">
        <v>222</v>
      </c>
      <c r="B5" s="48" t="s">
        <v>223</v>
      </c>
      <c r="C5" s="48"/>
      <c r="D5" s="48"/>
      <c r="E5" s="48"/>
      <c r="F5" s="48"/>
      <c r="G5" s="3"/>
      <c r="H5" s="3"/>
      <c r="I5" s="3"/>
    </row>
    <row r="6" spans="1:10" ht="16.149999999999999" customHeight="1">
      <c r="A6" s="4" t="s">
        <v>224</v>
      </c>
      <c r="B6" s="48" t="s">
        <v>225</v>
      </c>
      <c r="C6" s="48"/>
      <c r="D6" s="48"/>
      <c r="E6" s="48"/>
      <c r="F6" s="48"/>
      <c r="G6" s="3"/>
      <c r="H6" s="3"/>
      <c r="I6" s="3"/>
    </row>
    <row r="7" spans="1:10" ht="16.149999999999999" customHeight="1">
      <c r="A7" s="4" t="s">
        <v>226</v>
      </c>
      <c r="B7" s="50">
        <v>46304</v>
      </c>
      <c r="C7" s="50"/>
      <c r="D7" s="50"/>
      <c r="E7" s="50"/>
      <c r="F7" s="50"/>
      <c r="G7" s="3"/>
      <c r="H7" s="3"/>
      <c r="I7" s="3"/>
    </row>
    <row r="8" spans="1:10" ht="16.149999999999999" customHeight="1">
      <c r="A8" s="4" t="s">
        <v>227</v>
      </c>
      <c r="B8" s="48" t="s">
        <v>228</v>
      </c>
      <c r="C8" s="48"/>
      <c r="D8" s="48"/>
      <c r="E8" s="48"/>
      <c r="F8" s="48"/>
      <c r="G8" s="3"/>
      <c r="H8" s="3"/>
      <c r="I8" s="3"/>
    </row>
    <row r="9" spans="1:10" ht="16.149999999999999" customHeight="1">
      <c r="A9" s="4" t="s">
        <v>229</v>
      </c>
      <c r="B9" s="48" t="s">
        <v>230</v>
      </c>
      <c r="C9" s="48"/>
      <c r="D9" s="48"/>
      <c r="E9" s="48"/>
      <c r="F9" s="48"/>
      <c r="G9" s="3"/>
      <c r="H9" s="3"/>
      <c r="I9" s="3"/>
    </row>
    <row r="10" spans="1:10" ht="16.149999999999999" customHeight="1">
      <c r="A10" s="4" t="s">
        <v>231</v>
      </c>
      <c r="B10" s="48" t="s">
        <v>232</v>
      </c>
      <c r="C10" s="48"/>
      <c r="D10" s="48"/>
      <c r="E10" s="48"/>
      <c r="F10" s="48"/>
      <c r="G10" s="3"/>
      <c r="H10" s="3"/>
      <c r="I10" s="3"/>
    </row>
    <row r="11" spans="1:10" ht="16.149999999999999" customHeight="1">
      <c r="A11" s="4" t="s">
        <v>233</v>
      </c>
      <c r="B11" s="48" t="s">
        <v>234</v>
      </c>
      <c r="C11" s="48"/>
      <c r="D11" s="48"/>
      <c r="E11" s="48"/>
      <c r="F11" s="48"/>
      <c r="G11" s="3"/>
      <c r="H11" s="3"/>
      <c r="I11" s="3"/>
    </row>
    <row r="12" spans="1:10" ht="15.4">
      <c r="A12" s="7"/>
      <c r="B12" s="7"/>
      <c r="C12" s="7"/>
      <c r="D12" s="7"/>
      <c r="E12" s="7"/>
      <c r="F12" s="7"/>
      <c r="G12" s="3"/>
      <c r="H12" s="3"/>
      <c r="I12" s="3"/>
    </row>
    <row r="13" spans="1:10">
      <c r="A13" s="58" t="s">
        <v>235</v>
      </c>
      <c r="B13" s="57"/>
      <c r="C13" s="57"/>
      <c r="D13" s="57"/>
      <c r="E13" s="7"/>
      <c r="F13" s="7"/>
      <c r="G13" s="3"/>
      <c r="H13" s="3"/>
      <c r="I13" s="3"/>
    </row>
    <row r="14" spans="1:10" ht="16.149999999999999" customHeight="1">
      <c r="A14" s="23" t="s">
        <v>236</v>
      </c>
      <c r="B14" s="47" t="s">
        <v>237</v>
      </c>
      <c r="C14" s="47"/>
      <c r="D14" s="47"/>
      <c r="E14" s="47"/>
      <c r="F14" s="47"/>
      <c r="G14" s="3"/>
      <c r="H14" s="3"/>
      <c r="I14" s="3"/>
    </row>
    <row r="15" spans="1:10" ht="30" customHeight="1">
      <c r="A15" s="23" t="s">
        <v>238</v>
      </c>
      <c r="B15" s="47" t="s">
        <v>239</v>
      </c>
      <c r="C15" s="47"/>
      <c r="D15" s="47"/>
      <c r="E15" s="47"/>
      <c r="F15" s="47"/>
      <c r="G15" s="3"/>
      <c r="H15" s="3"/>
      <c r="I15" s="3"/>
    </row>
    <row r="16" spans="1:10" ht="16.149999999999999" customHeight="1">
      <c r="A16" s="23" t="s">
        <v>240</v>
      </c>
      <c r="B16" s="47" t="s">
        <v>241</v>
      </c>
      <c r="C16" s="47"/>
      <c r="D16" s="47"/>
      <c r="E16" s="47"/>
      <c r="F16" s="47"/>
      <c r="G16" s="3"/>
      <c r="H16" s="3"/>
      <c r="I16" s="3"/>
    </row>
    <row r="17" spans="1:9" ht="16.149999999999999" customHeight="1">
      <c r="A17" s="23" t="s">
        <v>242</v>
      </c>
      <c r="B17" s="47" t="s">
        <v>243</v>
      </c>
      <c r="C17" s="47"/>
      <c r="D17" s="47"/>
      <c r="E17" s="47"/>
      <c r="F17" s="47"/>
      <c r="G17" s="3"/>
      <c r="H17" s="3"/>
      <c r="I17" s="3"/>
    </row>
    <row r="18" spans="1:9" ht="15.4">
      <c r="A18" s="7"/>
      <c r="B18" s="7"/>
      <c r="C18" s="7"/>
      <c r="D18" s="7"/>
      <c r="E18" s="7"/>
      <c r="F18" s="7"/>
      <c r="G18" s="3"/>
      <c r="H18" s="3"/>
      <c r="I18" s="3"/>
    </row>
    <row r="19" spans="1:9">
      <c r="A19" s="58" t="s">
        <v>244</v>
      </c>
      <c r="B19" s="57"/>
      <c r="C19" s="57"/>
      <c r="D19" s="57"/>
      <c r="E19" s="7"/>
      <c r="F19" s="7"/>
      <c r="G19" s="3"/>
      <c r="H19" s="3"/>
      <c r="I19" s="3"/>
    </row>
    <row r="20" spans="1:9" ht="15">
      <c r="A20" s="34" t="s">
        <v>3</v>
      </c>
      <c r="B20" s="34" t="s">
        <v>245</v>
      </c>
      <c r="C20" s="34" t="s">
        <v>246</v>
      </c>
      <c r="D20" s="34" t="s">
        <v>247</v>
      </c>
      <c r="E20" s="35" t="s">
        <v>248</v>
      </c>
      <c r="F20" s="35" t="s">
        <v>249</v>
      </c>
      <c r="G20" s="3"/>
      <c r="H20" s="3"/>
      <c r="I20" s="3"/>
    </row>
    <row r="21" spans="1:9" ht="46.15">
      <c r="A21" s="24">
        <v>1</v>
      </c>
      <c r="B21" s="25" t="s">
        <v>250</v>
      </c>
      <c r="C21" s="25" t="s">
        <v>251</v>
      </c>
      <c r="D21" s="25" t="s">
        <v>252</v>
      </c>
      <c r="E21" s="22" t="s">
        <v>253</v>
      </c>
      <c r="F21" s="26" t="s">
        <v>254</v>
      </c>
      <c r="G21" s="3"/>
      <c r="H21" s="3"/>
      <c r="I21" s="3"/>
    </row>
    <row r="22" spans="1:9" ht="46.15">
      <c r="A22" s="27">
        <v>2</v>
      </c>
      <c r="B22" s="28" t="s">
        <v>255</v>
      </c>
      <c r="C22" s="28" t="s">
        <v>34</v>
      </c>
      <c r="D22" s="28" t="s">
        <v>256</v>
      </c>
      <c r="E22" s="22" t="s">
        <v>257</v>
      </c>
      <c r="F22" s="26" t="s">
        <v>258</v>
      </c>
      <c r="G22" s="3"/>
      <c r="H22" s="3"/>
      <c r="I22" s="3"/>
    </row>
    <row r="23" spans="1:9" ht="46.15">
      <c r="A23" s="24">
        <v>3</v>
      </c>
      <c r="B23" s="25" t="s">
        <v>259</v>
      </c>
      <c r="C23" s="25" t="s">
        <v>21</v>
      </c>
      <c r="D23" s="25" t="s">
        <v>260</v>
      </c>
      <c r="E23" s="22" t="s">
        <v>261</v>
      </c>
      <c r="F23" s="26" t="s">
        <v>262</v>
      </c>
      <c r="G23" s="3"/>
      <c r="H23" s="3"/>
      <c r="I23" s="3"/>
    </row>
    <row r="24" spans="1:9" ht="46.15">
      <c r="A24" s="27">
        <v>4</v>
      </c>
      <c r="B24" s="28" t="s">
        <v>263</v>
      </c>
      <c r="C24" s="28" t="s">
        <v>145</v>
      </c>
      <c r="D24" s="28" t="s">
        <v>260</v>
      </c>
      <c r="E24" s="22" t="s">
        <v>264</v>
      </c>
      <c r="F24" s="26" t="s">
        <v>265</v>
      </c>
      <c r="G24" s="3"/>
      <c r="H24" s="3"/>
      <c r="I24" s="3"/>
    </row>
    <row r="25" spans="1:9" ht="46.15">
      <c r="A25" s="24">
        <v>5</v>
      </c>
      <c r="B25" s="25" t="s">
        <v>266</v>
      </c>
      <c r="C25" s="25" t="s">
        <v>122</v>
      </c>
      <c r="D25" s="25" t="s">
        <v>260</v>
      </c>
      <c r="E25" s="22" t="s">
        <v>267</v>
      </c>
      <c r="F25" s="26" t="s">
        <v>268</v>
      </c>
      <c r="G25" s="3"/>
      <c r="H25" s="3"/>
      <c r="I25" s="3"/>
    </row>
    <row r="26" spans="1:9" ht="46.15">
      <c r="A26" s="27">
        <v>6</v>
      </c>
      <c r="B26" s="28" t="s">
        <v>269</v>
      </c>
      <c r="C26" s="28" t="s">
        <v>45</v>
      </c>
      <c r="D26" s="28" t="s">
        <v>260</v>
      </c>
      <c r="E26" s="22" t="s">
        <v>270</v>
      </c>
      <c r="F26" s="26" t="s">
        <v>271</v>
      </c>
      <c r="G26" s="3"/>
      <c r="H26" s="3"/>
      <c r="I26" s="3"/>
    </row>
    <row r="27" spans="1:9" ht="46.15">
      <c r="A27" s="24">
        <v>7</v>
      </c>
      <c r="B27" s="25" t="s">
        <v>272</v>
      </c>
      <c r="C27" s="25" t="s">
        <v>64</v>
      </c>
      <c r="D27" s="25" t="s">
        <v>260</v>
      </c>
      <c r="E27" s="22" t="s">
        <v>273</v>
      </c>
      <c r="F27" s="26" t="s">
        <v>274</v>
      </c>
      <c r="G27" s="3"/>
      <c r="H27" s="3"/>
      <c r="I27" s="3"/>
    </row>
    <row r="28" spans="1:9" ht="15.4">
      <c r="A28" s="7"/>
      <c r="B28" s="7"/>
      <c r="C28" s="7"/>
      <c r="D28" s="7"/>
      <c r="E28" s="7"/>
      <c r="F28" s="7"/>
      <c r="G28" s="3"/>
      <c r="H28" s="3"/>
      <c r="I28" s="3"/>
    </row>
    <row r="29" spans="1:9" ht="15.4">
      <c r="A29" s="7"/>
      <c r="B29" s="7"/>
      <c r="C29" s="7"/>
      <c r="D29" s="7"/>
      <c r="E29" s="7"/>
      <c r="F29" s="7"/>
      <c r="G29" s="3"/>
      <c r="H29" s="3"/>
      <c r="I29" s="3"/>
    </row>
    <row r="30" spans="1:9">
      <c r="A30" s="58" t="s">
        <v>275</v>
      </c>
      <c r="B30" s="57"/>
      <c r="C30" s="57"/>
      <c r="D30" s="57"/>
      <c r="E30" s="7"/>
      <c r="F30" s="7"/>
      <c r="G30" s="3"/>
      <c r="H30" s="3"/>
      <c r="I30" s="3"/>
    </row>
    <row r="31" spans="1:9">
      <c r="A31" s="49" t="s">
        <v>276</v>
      </c>
      <c r="B31" s="57"/>
      <c r="C31" s="57"/>
      <c r="D31" s="57"/>
      <c r="E31" s="7"/>
      <c r="F31" s="7"/>
      <c r="G31" s="3"/>
      <c r="H31" s="3"/>
      <c r="I31" s="3"/>
    </row>
    <row r="32" spans="1:9" ht="15.4">
      <c r="A32" s="7"/>
      <c r="B32" s="7"/>
      <c r="C32" s="7"/>
      <c r="D32" s="7"/>
      <c r="E32" s="7"/>
      <c r="F32" s="7"/>
      <c r="G32" s="3"/>
      <c r="H32" s="3"/>
      <c r="I32" s="3"/>
    </row>
    <row r="33" spans="1:9">
      <c r="A33" s="4" t="s">
        <v>277</v>
      </c>
      <c r="B33" s="46" t="s">
        <v>223</v>
      </c>
      <c r="C33" s="57"/>
      <c r="D33" s="57"/>
      <c r="E33" s="7"/>
      <c r="F33" s="7"/>
      <c r="G33" s="3"/>
      <c r="H33" s="3"/>
      <c r="I33" s="3"/>
    </row>
    <row r="34" spans="1:9">
      <c r="A34" s="4" t="s">
        <v>278</v>
      </c>
      <c r="B34" s="46" t="s">
        <v>225</v>
      </c>
      <c r="C34" s="57"/>
      <c r="D34" s="57"/>
      <c r="E34" s="7"/>
      <c r="F34" s="7"/>
      <c r="G34" s="3"/>
      <c r="H34" s="3"/>
      <c r="I34" s="3"/>
    </row>
    <row r="35" spans="1:9">
      <c r="A35" s="4" t="s">
        <v>279</v>
      </c>
      <c r="B35" s="46" t="s">
        <v>230</v>
      </c>
      <c r="C35" s="57"/>
      <c r="D35" s="57"/>
      <c r="E35" s="7"/>
      <c r="F35" s="7"/>
      <c r="G35" s="3"/>
      <c r="H35" s="3"/>
      <c r="I35" s="3"/>
    </row>
    <row r="36" spans="1:9">
      <c r="A36" s="4" t="s">
        <v>280</v>
      </c>
      <c r="B36" s="46" t="s">
        <v>281</v>
      </c>
      <c r="C36" s="57"/>
      <c r="D36" s="57"/>
      <c r="E36" s="7"/>
      <c r="F36" s="7"/>
      <c r="G36" s="3"/>
      <c r="H36" s="3"/>
      <c r="I36" s="3"/>
    </row>
    <row r="37" spans="1:9">
      <c r="A37" s="4" t="s">
        <v>282</v>
      </c>
      <c r="B37" s="46" t="s">
        <v>283</v>
      </c>
      <c r="C37" s="57"/>
      <c r="D37" s="57"/>
      <c r="E37" s="7"/>
      <c r="F37" s="7"/>
      <c r="G37" s="3"/>
      <c r="H37" s="3"/>
      <c r="I37" s="3"/>
    </row>
    <row r="38" spans="1:9" ht="15.4">
      <c r="A38" s="4" t="s">
        <v>284</v>
      </c>
      <c r="B38" s="22" t="s">
        <v>34</v>
      </c>
      <c r="C38" s="7"/>
      <c r="D38" s="7"/>
      <c r="E38" s="7"/>
      <c r="F38" s="7"/>
      <c r="G38" s="3"/>
      <c r="H38" s="3"/>
      <c r="I38" s="3"/>
    </row>
    <row r="39" spans="1:9">
      <c r="A39" s="6" t="s">
        <v>285</v>
      </c>
      <c r="B39" s="46" t="s">
        <v>21</v>
      </c>
      <c r="C39" s="57"/>
      <c r="D39" s="57"/>
      <c r="E39" s="7"/>
      <c r="F39" s="7"/>
      <c r="G39" s="3"/>
      <c r="H39" s="3"/>
      <c r="I39" s="3"/>
    </row>
    <row r="40" spans="1:9">
      <c r="A40" s="4" t="s">
        <v>286</v>
      </c>
      <c r="B40" s="46" t="s">
        <v>287</v>
      </c>
      <c r="C40" s="57"/>
      <c r="D40" s="57"/>
      <c r="E40" s="7"/>
      <c r="F40" s="7"/>
      <c r="G40" s="3"/>
      <c r="H40" s="3"/>
      <c r="I40" s="3"/>
    </row>
    <row r="41" spans="1:9">
      <c r="A41" s="29" t="s">
        <v>288</v>
      </c>
      <c r="B41" s="47" t="s">
        <v>289</v>
      </c>
      <c r="C41" s="57"/>
      <c r="D41" s="57"/>
      <c r="E41" s="7"/>
      <c r="F41" s="7"/>
      <c r="G41" s="3"/>
      <c r="H41" s="3"/>
      <c r="I41" s="3"/>
    </row>
    <row r="42" spans="1:9" ht="15.4">
      <c r="A42" s="7"/>
      <c r="B42" s="7"/>
      <c r="C42" s="7"/>
      <c r="D42" s="7"/>
      <c r="E42" s="7"/>
      <c r="F42" s="7"/>
      <c r="G42" s="3"/>
      <c r="H42" s="3"/>
      <c r="I42" s="3"/>
    </row>
    <row r="43" spans="1:9" ht="15.4">
      <c r="A43" s="7"/>
      <c r="B43" s="7"/>
      <c r="C43" s="7"/>
      <c r="D43" s="7"/>
      <c r="E43" s="7"/>
      <c r="F43" s="7"/>
      <c r="G43" s="3"/>
      <c r="H43" s="3"/>
      <c r="I43" s="3"/>
    </row>
    <row r="44" spans="1:9" s="2" customFormat="1" ht="15.4">
      <c r="A44" s="7"/>
      <c r="B44" s="7"/>
      <c r="C44" s="7"/>
      <c r="D44" s="30" t="s">
        <v>290</v>
      </c>
      <c r="E44" s="7"/>
      <c r="F44" s="7"/>
      <c r="G44" s="3"/>
      <c r="H44" s="3"/>
      <c r="I44" s="3"/>
    </row>
    <row r="45" spans="1:9" s="2" customFormat="1">
      <c r="A45" s="45" t="s">
        <v>291</v>
      </c>
      <c r="B45" s="59"/>
      <c r="C45" s="7"/>
      <c r="D45" s="31" t="s">
        <v>292</v>
      </c>
      <c r="E45" s="7"/>
      <c r="F45" s="7"/>
      <c r="G45" s="3"/>
      <c r="H45" s="3"/>
      <c r="I45" s="3"/>
    </row>
    <row r="46" spans="1:9" s="2" customFormat="1">
      <c r="A46" s="53" t="s">
        <v>293</v>
      </c>
      <c r="B46" s="59"/>
      <c r="C46" s="7"/>
      <c r="D46" s="30" t="s">
        <v>293</v>
      </c>
      <c r="E46" s="7"/>
      <c r="F46" s="7"/>
      <c r="G46" s="3"/>
      <c r="H46" s="3"/>
      <c r="I46" s="3"/>
    </row>
    <row r="47" spans="1:9" s="2" customFormat="1" ht="15.4">
      <c r="A47" s="7"/>
      <c r="B47" s="7"/>
      <c r="C47" s="7"/>
      <c r="D47" s="7"/>
      <c r="E47" s="7"/>
      <c r="F47" s="7"/>
      <c r="G47" s="3"/>
      <c r="H47" s="3"/>
      <c r="I47" s="3"/>
    </row>
    <row r="48" spans="1:9" s="2" customFormat="1">
      <c r="A48" s="51" t="s">
        <v>294</v>
      </c>
      <c r="B48" s="59"/>
      <c r="C48" s="7"/>
      <c r="D48" s="33" t="s">
        <v>295</v>
      </c>
      <c r="E48" s="7"/>
      <c r="F48" s="7"/>
      <c r="G48" s="3"/>
      <c r="H48" s="3"/>
      <c r="I48" s="3"/>
    </row>
    <row r="49" spans="1:9" s="2" customFormat="1">
      <c r="A49" s="60"/>
      <c r="B49" s="59"/>
      <c r="C49" s="7"/>
      <c r="D49" s="7"/>
      <c r="E49" s="7"/>
      <c r="F49" s="7"/>
      <c r="G49" s="3"/>
      <c r="H49" s="3"/>
      <c r="I49" s="3"/>
    </row>
    <row r="50" spans="1:9" s="2" customFormat="1">
      <c r="A50" s="45" t="s">
        <v>251</v>
      </c>
      <c r="B50" s="59"/>
      <c r="C50" s="7"/>
      <c r="D50" s="31" t="s">
        <v>34</v>
      </c>
      <c r="E50" s="7"/>
      <c r="F50" s="7"/>
      <c r="G50" s="3"/>
      <c r="H50" s="3"/>
      <c r="I50" s="3"/>
    </row>
    <row r="51" spans="1:9" s="2" customFormat="1">
      <c r="A51" s="32"/>
      <c r="B51" s="32"/>
      <c r="C51" s="32"/>
      <c r="D51" s="32"/>
      <c r="E51" s="32"/>
      <c r="F51" s="32"/>
    </row>
    <row r="52" spans="1:9" s="2" customFormat="1">
      <c r="A52" s="32"/>
      <c r="B52" s="32"/>
      <c r="C52" s="32"/>
      <c r="D52" s="32"/>
      <c r="E52" s="32"/>
      <c r="F52" s="32"/>
    </row>
    <row r="53" spans="1:9" s="2" customFormat="1">
      <c r="A53" s="32"/>
      <c r="B53" s="32"/>
      <c r="C53" s="32"/>
      <c r="D53" s="32"/>
      <c r="E53" s="32"/>
      <c r="F53" s="32"/>
    </row>
    <row r="54" spans="1:9" s="2" customFormat="1">
      <c r="A54" s="32"/>
      <c r="B54" s="32"/>
      <c r="C54" s="32"/>
      <c r="D54" s="32"/>
      <c r="E54" s="32"/>
      <c r="F54" s="32"/>
    </row>
    <row r="55" spans="1:9" s="2" customFormat="1">
      <c r="A55" s="32"/>
      <c r="B55" s="32"/>
      <c r="C55" s="32"/>
      <c r="D55" s="32"/>
      <c r="E55" s="32"/>
      <c r="F55" s="32"/>
    </row>
    <row r="56" spans="1:9" s="2" customFormat="1">
      <c r="A56" s="32"/>
      <c r="B56" s="32"/>
      <c r="C56" s="32"/>
      <c r="D56" s="32"/>
      <c r="E56" s="32"/>
      <c r="F56" s="32"/>
    </row>
    <row r="57" spans="1:9" s="2" customFormat="1">
      <c r="A57" s="32"/>
      <c r="B57" s="32"/>
      <c r="C57" s="32"/>
      <c r="D57" s="32"/>
      <c r="E57" s="32"/>
      <c r="F57" s="32"/>
    </row>
    <row r="58" spans="1:9" s="2" customFormat="1">
      <c r="A58" s="32"/>
      <c r="B58" s="32"/>
      <c r="C58" s="32"/>
      <c r="D58" s="32"/>
      <c r="E58" s="32"/>
      <c r="F58" s="32"/>
    </row>
    <row r="59" spans="1:9" s="2" customFormat="1">
      <c r="A59" s="32"/>
      <c r="B59" s="32"/>
      <c r="C59" s="32"/>
      <c r="D59" s="32"/>
      <c r="E59" s="32"/>
      <c r="F59" s="32"/>
    </row>
    <row r="60" spans="1:9" s="2" customFormat="1">
      <c r="A60" s="32"/>
      <c r="B60" s="32"/>
      <c r="C60" s="32"/>
      <c r="D60" s="32"/>
      <c r="E60" s="32"/>
      <c r="F60" s="32"/>
    </row>
    <row r="61" spans="1:9" s="2" customFormat="1">
      <c r="A61" s="32"/>
      <c r="B61" s="32"/>
      <c r="C61" s="32"/>
      <c r="D61" s="32"/>
      <c r="E61" s="32"/>
      <c r="F61" s="32"/>
    </row>
    <row r="62" spans="1:9" s="2" customFormat="1">
      <c r="A62" s="32"/>
      <c r="B62" s="32"/>
      <c r="C62" s="32"/>
      <c r="D62" s="32"/>
      <c r="E62" s="32"/>
      <c r="F62" s="32"/>
    </row>
    <row r="63" spans="1:9" s="2" customFormat="1">
      <c r="A63" s="32"/>
      <c r="B63" s="32"/>
      <c r="C63" s="32"/>
      <c r="D63" s="32"/>
      <c r="E63" s="32"/>
      <c r="F63" s="32"/>
    </row>
    <row r="64" spans="1:9" s="2" customFormat="1">
      <c r="A64" s="32"/>
      <c r="B64" s="32"/>
      <c r="C64" s="32"/>
      <c r="D64" s="32"/>
      <c r="E64" s="32"/>
      <c r="F64" s="32"/>
    </row>
    <row r="65" spans="1:6" s="2" customFormat="1">
      <c r="A65" s="32"/>
      <c r="B65" s="32"/>
      <c r="C65" s="32"/>
      <c r="D65" s="32"/>
      <c r="E65" s="32"/>
      <c r="F65" s="32"/>
    </row>
    <row r="66" spans="1:6" s="2" customFormat="1">
      <c r="A66" s="32"/>
      <c r="B66" s="32"/>
      <c r="C66" s="32"/>
      <c r="D66" s="32"/>
      <c r="E66" s="32"/>
      <c r="F66" s="32"/>
    </row>
    <row r="67" spans="1:6" s="2" customFormat="1">
      <c r="A67" s="32"/>
      <c r="B67" s="32"/>
      <c r="C67" s="32"/>
      <c r="D67" s="32"/>
      <c r="E67" s="32"/>
      <c r="F67" s="32"/>
    </row>
    <row r="68" spans="1:6" s="2" customFormat="1">
      <c r="A68" s="32"/>
      <c r="B68" s="32"/>
      <c r="C68" s="32"/>
      <c r="D68" s="32"/>
      <c r="E68" s="32"/>
      <c r="F68" s="32"/>
    </row>
    <row r="69" spans="1:6" s="2" customFormat="1">
      <c r="A69" s="32"/>
      <c r="B69" s="32"/>
      <c r="C69" s="32"/>
      <c r="D69" s="32"/>
      <c r="E69" s="32"/>
      <c r="F69" s="32"/>
    </row>
    <row r="70" spans="1:6" s="2" customFormat="1">
      <c r="A70" s="32"/>
      <c r="B70" s="32"/>
      <c r="C70" s="32"/>
      <c r="D70" s="32"/>
      <c r="E70" s="32"/>
      <c r="F70" s="32"/>
    </row>
    <row r="71" spans="1:6" s="2" customFormat="1">
      <c r="A71" s="32"/>
      <c r="B71" s="32"/>
      <c r="C71" s="32"/>
      <c r="D71" s="32"/>
      <c r="E71" s="32"/>
      <c r="F71" s="32"/>
    </row>
    <row r="72" spans="1:6" s="2" customFormat="1">
      <c r="A72" s="32"/>
      <c r="B72" s="32"/>
      <c r="C72" s="32"/>
      <c r="D72" s="32"/>
      <c r="E72" s="32"/>
      <c r="F72" s="32"/>
    </row>
    <row r="73" spans="1:6" s="2" customFormat="1">
      <c r="A73" s="32"/>
      <c r="B73" s="32"/>
      <c r="C73" s="32"/>
      <c r="D73" s="32"/>
      <c r="E73" s="32"/>
      <c r="F73" s="32"/>
    </row>
    <row r="74" spans="1:6" s="2" customFormat="1">
      <c r="A74" s="32"/>
      <c r="B74" s="32"/>
      <c r="C74" s="32"/>
      <c r="D74" s="32"/>
      <c r="E74" s="32"/>
      <c r="F74" s="32"/>
    </row>
    <row r="75" spans="1:6" s="2" customFormat="1">
      <c r="A75" s="32"/>
      <c r="B75" s="32"/>
      <c r="C75" s="32"/>
      <c r="D75" s="32"/>
      <c r="E75" s="32"/>
      <c r="F75" s="32"/>
    </row>
    <row r="76" spans="1:6" s="2" customFormat="1">
      <c r="A76" s="32"/>
      <c r="B76" s="32"/>
      <c r="C76" s="32"/>
      <c r="D76" s="32"/>
      <c r="E76" s="32"/>
      <c r="F76" s="32"/>
    </row>
    <row r="77" spans="1:6" s="2" customFormat="1">
      <c r="A77" s="32"/>
      <c r="B77" s="32"/>
      <c r="C77" s="32"/>
      <c r="D77" s="32"/>
      <c r="E77" s="32"/>
      <c r="F77" s="32"/>
    </row>
    <row r="78" spans="1:6" s="2" customFormat="1">
      <c r="A78" s="32"/>
      <c r="B78" s="32"/>
      <c r="C78" s="32"/>
      <c r="D78" s="32"/>
      <c r="E78" s="32"/>
      <c r="F78" s="32"/>
    </row>
    <row r="79" spans="1:6" s="2" customFormat="1">
      <c r="A79" s="32"/>
      <c r="B79" s="32"/>
      <c r="C79" s="32"/>
      <c r="D79" s="32"/>
      <c r="E79" s="32"/>
      <c r="F79" s="32"/>
    </row>
    <row r="80" spans="1:6" s="2" customFormat="1">
      <c r="A80" s="32"/>
      <c r="B80" s="32"/>
      <c r="C80" s="32"/>
      <c r="D80" s="32"/>
      <c r="E80" s="32"/>
      <c r="F80" s="32"/>
    </row>
    <row r="81" spans="1:6" s="2" customFormat="1">
      <c r="A81" s="32"/>
      <c r="B81" s="32"/>
      <c r="C81" s="32"/>
      <c r="D81" s="32"/>
      <c r="E81" s="32"/>
      <c r="F81" s="32"/>
    </row>
    <row r="82" spans="1:6" s="2" customFormat="1">
      <c r="A82" s="32"/>
      <c r="B82" s="32"/>
      <c r="C82" s="32"/>
      <c r="D82" s="32"/>
      <c r="E82" s="32"/>
      <c r="F82" s="32"/>
    </row>
    <row r="83" spans="1:6" s="2" customFormat="1">
      <c r="A83" s="32"/>
      <c r="B83" s="32"/>
      <c r="C83" s="32"/>
      <c r="D83" s="32"/>
      <c r="E83" s="32"/>
      <c r="F83" s="32"/>
    </row>
    <row r="84" spans="1:6" s="2" customFormat="1">
      <c r="A84" s="32"/>
      <c r="B84" s="32"/>
      <c r="C84" s="32"/>
      <c r="D84" s="32"/>
      <c r="E84" s="32"/>
      <c r="F84" s="32"/>
    </row>
    <row r="85" spans="1:6" s="2" customFormat="1">
      <c r="A85" s="32"/>
      <c r="B85" s="32"/>
      <c r="C85" s="32"/>
      <c r="D85" s="32"/>
      <c r="E85" s="32"/>
      <c r="F85" s="32"/>
    </row>
    <row r="86" spans="1:6" s="2" customFormat="1">
      <c r="A86" s="32"/>
      <c r="B86" s="32"/>
      <c r="C86" s="32"/>
      <c r="D86" s="32"/>
      <c r="E86" s="32"/>
      <c r="F86" s="32"/>
    </row>
    <row r="87" spans="1:6" s="2" customFormat="1">
      <c r="A87" s="32"/>
      <c r="B87" s="32"/>
      <c r="C87" s="32"/>
      <c r="D87" s="32"/>
      <c r="E87" s="32"/>
      <c r="F87" s="32"/>
    </row>
    <row r="88" spans="1:6" s="2" customFormat="1">
      <c r="A88" s="32"/>
      <c r="B88" s="32"/>
      <c r="C88" s="32"/>
      <c r="D88" s="32"/>
      <c r="E88" s="32"/>
      <c r="F88" s="32"/>
    </row>
    <row r="89" spans="1:6" s="2" customFormat="1">
      <c r="A89" s="32"/>
      <c r="B89" s="32"/>
      <c r="C89" s="32"/>
      <c r="D89" s="32"/>
      <c r="E89" s="32"/>
      <c r="F89" s="32"/>
    </row>
    <row r="90" spans="1:6" s="2" customFormat="1">
      <c r="A90" s="32"/>
      <c r="B90" s="32"/>
      <c r="C90" s="32"/>
      <c r="D90" s="32"/>
      <c r="E90" s="32"/>
      <c r="F90" s="32"/>
    </row>
    <row r="91" spans="1:6" s="2" customFormat="1">
      <c r="A91" s="32"/>
      <c r="B91" s="32"/>
      <c r="C91" s="32"/>
      <c r="D91" s="32"/>
      <c r="E91" s="32"/>
      <c r="F91" s="32"/>
    </row>
    <row r="92" spans="1:6" s="2" customFormat="1">
      <c r="A92" s="32"/>
      <c r="B92" s="32"/>
      <c r="C92" s="32"/>
      <c r="D92" s="32"/>
      <c r="E92" s="32"/>
      <c r="F92" s="32"/>
    </row>
    <row r="93" spans="1:6" s="2" customFormat="1">
      <c r="A93" s="32"/>
      <c r="B93" s="32"/>
      <c r="C93" s="32"/>
      <c r="D93" s="32"/>
      <c r="E93" s="32"/>
      <c r="F93" s="32"/>
    </row>
    <row r="94" spans="1:6" s="2" customFormat="1">
      <c r="A94" s="32"/>
      <c r="B94" s="32"/>
      <c r="C94" s="32"/>
      <c r="D94" s="32"/>
      <c r="E94" s="32"/>
      <c r="F94" s="32"/>
    </row>
    <row r="95" spans="1:6" s="2" customFormat="1">
      <c r="A95" s="32"/>
      <c r="B95" s="32"/>
      <c r="C95" s="32"/>
      <c r="D95" s="32"/>
      <c r="E95" s="32"/>
      <c r="F95" s="32"/>
    </row>
    <row r="96" spans="1:6" s="2" customFormat="1">
      <c r="A96" s="32"/>
      <c r="B96" s="32"/>
      <c r="C96" s="32"/>
      <c r="D96" s="32"/>
      <c r="E96" s="32"/>
      <c r="F96" s="32"/>
    </row>
    <row r="97" spans="1:6" s="2" customFormat="1">
      <c r="A97" s="32"/>
      <c r="B97" s="32"/>
      <c r="C97" s="32"/>
      <c r="D97" s="32"/>
      <c r="E97" s="32"/>
      <c r="F97" s="32"/>
    </row>
    <row r="98" spans="1:6" s="2" customFormat="1">
      <c r="A98" s="32"/>
      <c r="B98" s="32"/>
      <c r="C98" s="32"/>
      <c r="D98" s="32"/>
      <c r="E98" s="32"/>
      <c r="F98" s="32"/>
    </row>
    <row r="99" spans="1:6" s="2" customFormat="1">
      <c r="A99" s="32"/>
      <c r="B99" s="32"/>
      <c r="C99" s="32"/>
      <c r="D99" s="32"/>
      <c r="E99" s="32"/>
      <c r="F99" s="32"/>
    </row>
    <row r="100" spans="1:6" s="2" customFormat="1">
      <c r="A100" s="32"/>
      <c r="B100" s="32"/>
      <c r="C100" s="32"/>
      <c r="D100" s="32"/>
      <c r="E100" s="32"/>
      <c r="F100" s="32"/>
    </row>
    <row r="101" spans="1:6" s="2" customFormat="1">
      <c r="A101" s="32"/>
      <c r="B101" s="32"/>
      <c r="C101" s="32"/>
      <c r="D101" s="32"/>
      <c r="E101" s="32"/>
      <c r="F101" s="32"/>
    </row>
  </sheetData>
  <mergeCells count="31">
    <mergeCell ref="A31:D31"/>
    <mergeCell ref="B37:D37"/>
    <mergeCell ref="A30:D30"/>
    <mergeCell ref="A2:J2"/>
    <mergeCell ref="A3:J3"/>
    <mergeCell ref="B7:F7"/>
    <mergeCell ref="B14:F14"/>
    <mergeCell ref="B15:F15"/>
    <mergeCell ref="B17:F17"/>
    <mergeCell ref="B16:F16"/>
    <mergeCell ref="A19:D19"/>
    <mergeCell ref="A13:D13"/>
    <mergeCell ref="B34:D34"/>
    <mergeCell ref="A4:D4"/>
    <mergeCell ref="B10:F10"/>
    <mergeCell ref="B11:F11"/>
    <mergeCell ref="B9:F9"/>
    <mergeCell ref="B8:F8"/>
    <mergeCell ref="B5:F5"/>
    <mergeCell ref="B6:F6"/>
    <mergeCell ref="A50:B50"/>
    <mergeCell ref="B33:D33"/>
    <mergeCell ref="B36:D36"/>
    <mergeCell ref="B41:D41"/>
    <mergeCell ref="B35:D35"/>
    <mergeCell ref="B39:D39"/>
    <mergeCell ref="A48:B48"/>
    <mergeCell ref="A49:B49"/>
    <mergeCell ref="A45:B45"/>
    <mergeCell ref="B40:D40"/>
    <mergeCell ref="A46:B46"/>
  </mergeCells>
  <hyperlinks>
    <hyperlink ref="F22" r:id="rId1" tooltip="mailto:Hoi.NQ2490057@sis.hust.edu.vn" xr:uid="{00000000-0004-0000-0100-000000000000}"/>
    <hyperlink ref="F23" r:id="rId2" tooltip="mailto:thanh.tt239253@sis.hust.edu.vn" xr:uid="{00000000-0004-0000-0100-000001000000}"/>
    <hyperlink ref="F27" r:id="rId3" tooltip="mailto:cong.nq231117P@sis.hust.edu.vn" xr:uid="{00000000-0004-0000-0100-000002000000}"/>
  </hyperlinks>
  <pageMargins left="0.75" right="0.75" top="1" bottom="1" header="0.5" footer="0.5"/>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2BEE12B1-C49A-4B2F-8065-7E37182532A2}"/>
</file>

<file path=customXml/itemProps2.xml><?xml version="1.0" encoding="utf-8"?>
<ds:datastoreItem xmlns:ds="http://schemas.openxmlformats.org/officeDocument/2006/customXml" ds:itemID="{8F4A1410-CA20-41B1-BCF8-948194E59835}"/>
</file>

<file path=customXml/itemProps3.xml><?xml version="1.0" encoding="utf-8"?>
<ds:datastoreItem xmlns:ds="http://schemas.openxmlformats.org/officeDocument/2006/customXml" ds:itemID="{FAF3BA8F-91CB-4845-AFA8-37871A3833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Pham Duc Hieu 202490051</cp:lastModifiedBy>
  <cp:revision/>
  <dcterms:created xsi:type="dcterms:W3CDTF">2026-09-12T07:42:00Z</dcterms:created>
  <dcterms:modified xsi:type="dcterms:W3CDTF">2026-09-14T02:10:09Z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7FCEAF561CA64956A701E02362A13FDF_12</vt:lpwstr>
  </property>
  <property fmtid="{D5CDD505-2E9C-101B-9397-08002B2CF9AE}" pid="3" name="KSOProductBuildVer">
    <vt:lpwstr>1033-12.1.0.28485</vt:lpwstr>
  </property>
  <property fmtid="{D5CDD505-2E9C-101B-9397-08002B2CF9AE}" pid="4" name="CalculationRule">
    <vt:i4>0</vt:i4>
  </property>
  <property fmtid="{D5CDD505-2E9C-101B-9397-08002B2CF9AE}" pid="5" name="ContentTypeId">
    <vt:lpwstr>0x01010007BB4CB8C644074DA8C0D9544B46C45A</vt:lpwstr>
  </property>
</Properties>
</file>