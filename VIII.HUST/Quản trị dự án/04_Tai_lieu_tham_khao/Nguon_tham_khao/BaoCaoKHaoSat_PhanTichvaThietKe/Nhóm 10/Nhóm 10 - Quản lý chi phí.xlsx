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t239253_sis_hust_edu_vn/Documents/S3-IT PROJECT MANAGEMENT/01. Group assignment/"/>
    </mc:Choice>
  </mc:AlternateContent>
  <xr:revisionPtr revIDLastSave="11" documentId="11_CF0A1913D6C57022DA2FFBCEF7FD7A702C7FB4E0" xr6:coauthVersionLast="47" xr6:coauthVersionMax="47" xr10:uidLastSave="{B076754C-8F1B-4916-A8DB-03B32A8365A4}"/>
  <bookViews>
    <workbookView xWindow="-98" yWindow="-98" windowWidth="23236" windowHeight="13875" xr2:uid="{00000000-000D-0000-FFFF-FFFF00000000}"/>
  </bookViews>
  <sheets>
    <sheet name="TỔNG HỢP CÔNG LAO ĐỘNG" sheetId="1" r:id="rId1"/>
    <sheet name="PHỤ LỤC 3 - DỰ TOÁN" sheetId="2" r:id="rId2"/>
    <sheet name="CHI PHÍ CÔNG LAO ĐỘNG" sheetId="3" r:id="rId3"/>
    <sheet name="CHI PHÍ KHÁC" sheetId="4" r:id="rId4"/>
    <sheet name="CHI PHÍ NGUYÊN VẬT LIỆU" sheetId="5" r:id="rId5"/>
    <sheet name="CHI PHÍ THIẾT BỊ" sheetId="6" r:id="rId6"/>
    <sheet name="WB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7" l="1"/>
  <c r="H72" i="7"/>
  <c r="H71" i="7"/>
  <c r="H70" i="7"/>
  <c r="H69" i="7"/>
  <c r="H67" i="7"/>
  <c r="I67" i="7" s="1"/>
  <c r="H66" i="7"/>
  <c r="I66" i="7" s="1"/>
  <c r="H65" i="7"/>
  <c r="H64" i="7"/>
  <c r="I64" i="7" s="1"/>
  <c r="J64" i="7" s="1"/>
  <c r="H61" i="7"/>
  <c r="I61" i="7" s="1"/>
  <c r="J61" i="7" s="1"/>
  <c r="H60" i="7"/>
  <c r="I60" i="7" s="1"/>
  <c r="J60" i="7" s="1"/>
  <c r="H59" i="7"/>
  <c r="H58" i="7"/>
  <c r="I58" i="7" s="1"/>
  <c r="H57" i="7"/>
  <c r="H56" i="7"/>
  <c r="I56" i="7" s="1"/>
  <c r="J56" i="7" s="1"/>
  <c r="I55" i="7"/>
  <c r="J55" i="7" s="1"/>
  <c r="H55" i="7"/>
  <c r="H54" i="7"/>
  <c r="I52" i="7"/>
  <c r="H52" i="7"/>
  <c r="J52" i="7" s="1"/>
  <c r="I51" i="7"/>
  <c r="J51" i="7" s="1"/>
  <c r="H51" i="7"/>
  <c r="H50" i="7"/>
  <c r="H49" i="7"/>
  <c r="I47" i="7"/>
  <c r="J47" i="7" s="1"/>
  <c r="H47" i="7"/>
  <c r="H46" i="7"/>
  <c r="H45" i="7"/>
  <c r="H44" i="7"/>
  <c r="H42" i="7"/>
  <c r="H41" i="7"/>
  <c r="I41" i="7" s="1"/>
  <c r="H40" i="7"/>
  <c r="I40" i="7" s="1"/>
  <c r="H39" i="7"/>
  <c r="H38" i="7"/>
  <c r="H37" i="7"/>
  <c r="I37" i="7" s="1"/>
  <c r="J37" i="7" s="1"/>
  <c r="I35" i="7"/>
  <c r="J35" i="7" s="1"/>
  <c r="H35" i="7"/>
  <c r="H34" i="7"/>
  <c r="I34" i="7" s="1"/>
  <c r="J34" i="7" s="1"/>
  <c r="H33" i="7"/>
  <c r="H32" i="7"/>
  <c r="I32" i="7" s="1"/>
  <c r="H31" i="7"/>
  <c r="I31" i="7" s="1"/>
  <c r="H30" i="7"/>
  <c r="I30" i="7" s="1"/>
  <c r="J30" i="7" s="1"/>
  <c r="I28" i="7"/>
  <c r="J28" i="7" s="1"/>
  <c r="H28" i="7"/>
  <c r="H27" i="7"/>
  <c r="I26" i="7"/>
  <c r="H26" i="7"/>
  <c r="J26" i="7" s="1"/>
  <c r="I25" i="7"/>
  <c r="J25" i="7" s="1"/>
  <c r="H25" i="7"/>
  <c r="H24" i="7"/>
  <c r="H23" i="7"/>
  <c r="I22" i="7"/>
  <c r="J22" i="7" s="1"/>
  <c r="H22" i="7"/>
  <c r="H20" i="7"/>
  <c r="I20" i="7" s="1"/>
  <c r="H19" i="7"/>
  <c r="H18" i="7"/>
  <c r="H16" i="7"/>
  <c r="H15" i="7"/>
  <c r="I15" i="7" s="1"/>
  <c r="H13" i="7"/>
  <c r="I12" i="7"/>
  <c r="H12" i="7"/>
  <c r="J12" i="7" s="1"/>
  <c r="H11" i="7"/>
  <c r="H10" i="7"/>
  <c r="I10" i="7" s="1"/>
  <c r="J10" i="7" s="1"/>
  <c r="I9" i="7"/>
  <c r="J9" i="7" s="1"/>
  <c r="H9" i="7"/>
  <c r="H8" i="7"/>
  <c r="H75" i="7" s="1"/>
  <c r="F8" i="6"/>
  <c r="F7" i="6"/>
  <c r="F6" i="6"/>
  <c r="F5" i="6"/>
  <c r="F4" i="6"/>
  <c r="F3" i="6"/>
  <c r="F9" i="6" s="1"/>
  <c r="C10" i="2" s="1"/>
  <c r="F6" i="5"/>
  <c r="F5" i="5"/>
  <c r="F7" i="5" s="1"/>
  <c r="C9" i="2" s="1"/>
  <c r="F4" i="5"/>
  <c r="F3" i="5"/>
  <c r="F21" i="4"/>
  <c r="I21" i="4" s="1"/>
  <c r="J21" i="4" s="1"/>
  <c r="F20" i="4"/>
  <c r="F19" i="4"/>
  <c r="I18" i="4"/>
  <c r="G18" i="4"/>
  <c r="H18" i="4" s="1"/>
  <c r="F18" i="4"/>
  <c r="J18" i="4" s="1"/>
  <c r="F17" i="4"/>
  <c r="F16" i="4"/>
  <c r="G15" i="4"/>
  <c r="H15" i="4" s="1"/>
  <c r="F15" i="4"/>
  <c r="I15" i="4" s="1"/>
  <c r="I14" i="4"/>
  <c r="J14" i="4" s="1"/>
  <c r="F14" i="4"/>
  <c r="G14" i="4" s="1"/>
  <c r="H14" i="4" s="1"/>
  <c r="F13" i="4"/>
  <c r="I13" i="4" s="1"/>
  <c r="J13" i="4" s="1"/>
  <c r="F11" i="4"/>
  <c r="G11" i="4" s="1"/>
  <c r="H11" i="4" s="1"/>
  <c r="I10" i="4"/>
  <c r="J10" i="4" s="1"/>
  <c r="G10" i="4"/>
  <c r="H10" i="4" s="1"/>
  <c r="F10" i="4"/>
  <c r="I9" i="4"/>
  <c r="J9" i="4" s="1"/>
  <c r="F9" i="4"/>
  <c r="G9" i="4" s="1"/>
  <c r="H9" i="4" s="1"/>
  <c r="I8" i="4"/>
  <c r="G8" i="4"/>
  <c r="H8" i="4" s="1"/>
  <c r="F8" i="4"/>
  <c r="J8" i="4" s="1"/>
  <c r="F6" i="4"/>
  <c r="F5" i="4" s="1"/>
  <c r="H82" i="3"/>
  <c r="F82" i="3"/>
  <c r="G71" i="3"/>
  <c r="H70" i="3"/>
  <c r="G70" i="3"/>
  <c r="I70" i="3" s="1"/>
  <c r="J70" i="3" s="1"/>
  <c r="G69" i="3"/>
  <c r="H69" i="3" s="1"/>
  <c r="G68" i="3"/>
  <c r="I68" i="3" s="1"/>
  <c r="G67" i="3"/>
  <c r="G66" i="3"/>
  <c r="I64" i="3"/>
  <c r="G64" i="3"/>
  <c r="J64" i="3" s="1"/>
  <c r="G63" i="3"/>
  <c r="H63" i="3" s="1"/>
  <c r="G62" i="3"/>
  <c r="H62" i="3" s="1"/>
  <c r="I61" i="3"/>
  <c r="J61" i="3" s="1"/>
  <c r="G61" i="3"/>
  <c r="H61" i="3" s="1"/>
  <c r="I58" i="3"/>
  <c r="J58" i="3" s="1"/>
  <c r="G58" i="3"/>
  <c r="H58" i="3" s="1"/>
  <c r="G57" i="3"/>
  <c r="I57" i="3" s="1"/>
  <c r="H56" i="3"/>
  <c r="G56" i="3"/>
  <c r="G55" i="3"/>
  <c r="I55" i="3" s="1"/>
  <c r="G54" i="3"/>
  <c r="I54" i="3" s="1"/>
  <c r="G53" i="3"/>
  <c r="G52" i="3"/>
  <c r="I51" i="3"/>
  <c r="G51" i="3"/>
  <c r="J51" i="3" s="1"/>
  <c r="G49" i="3"/>
  <c r="G48" i="3"/>
  <c r="I48" i="3" s="1"/>
  <c r="I47" i="3"/>
  <c r="J47" i="3" s="1"/>
  <c r="G47" i="3"/>
  <c r="H47" i="3" s="1"/>
  <c r="I46" i="3"/>
  <c r="J46" i="3" s="1"/>
  <c r="G46" i="3"/>
  <c r="H46" i="3" s="1"/>
  <c r="G44" i="3"/>
  <c r="I44" i="3" s="1"/>
  <c r="H43" i="3"/>
  <c r="G43" i="3"/>
  <c r="G42" i="3"/>
  <c r="G41" i="3"/>
  <c r="I41" i="3" s="1"/>
  <c r="G39" i="3"/>
  <c r="G38" i="3"/>
  <c r="I37" i="3"/>
  <c r="G37" i="3"/>
  <c r="J37" i="3" s="1"/>
  <c r="G36" i="3"/>
  <c r="H36" i="3" s="1"/>
  <c r="G35" i="3"/>
  <c r="I35" i="3" s="1"/>
  <c r="I34" i="3"/>
  <c r="J34" i="3" s="1"/>
  <c r="G34" i="3"/>
  <c r="H34" i="3" s="1"/>
  <c r="I32" i="3"/>
  <c r="J32" i="3" s="1"/>
  <c r="G32" i="3"/>
  <c r="H32" i="3" s="1"/>
  <c r="G31" i="3"/>
  <c r="I31" i="3" s="1"/>
  <c r="G30" i="3"/>
  <c r="G29" i="3"/>
  <c r="I29" i="3" s="1"/>
  <c r="G28" i="3"/>
  <c r="I28" i="3" s="1"/>
  <c r="G27" i="3"/>
  <c r="G25" i="3"/>
  <c r="I24" i="3"/>
  <c r="G24" i="3"/>
  <c r="J24" i="3" s="1"/>
  <c r="G23" i="3"/>
  <c r="G22" i="3"/>
  <c r="H22" i="3" s="1"/>
  <c r="I21" i="3"/>
  <c r="J21" i="3" s="1"/>
  <c r="G21" i="3"/>
  <c r="H21" i="3" s="1"/>
  <c r="I20" i="3"/>
  <c r="J20" i="3" s="1"/>
  <c r="G20" i="3"/>
  <c r="H20" i="3" s="1"/>
  <c r="G19" i="3"/>
  <c r="I19" i="3" s="1"/>
  <c r="G17" i="3"/>
  <c r="G16" i="3"/>
  <c r="H16" i="3" s="1"/>
  <c r="G15" i="3"/>
  <c r="I15" i="3" s="1"/>
  <c r="G13" i="3"/>
  <c r="G12" i="3"/>
  <c r="I10" i="3"/>
  <c r="G10" i="3"/>
  <c r="J10" i="3" s="1"/>
  <c r="G9" i="3"/>
  <c r="H9" i="3" s="1"/>
  <c r="G8" i="3"/>
  <c r="I7" i="3"/>
  <c r="J7" i="3" s="1"/>
  <c r="G7" i="3"/>
  <c r="H7" i="3" s="1"/>
  <c r="I6" i="3"/>
  <c r="J6" i="3" s="1"/>
  <c r="G6" i="3"/>
  <c r="H6" i="3" s="1"/>
  <c r="G5" i="3"/>
  <c r="I5" i="3" s="1"/>
  <c r="E11" i="1"/>
  <c r="F10" i="1"/>
  <c r="F9" i="1"/>
  <c r="F8" i="1"/>
  <c r="F7" i="1"/>
  <c r="F6" i="1"/>
  <c r="F5" i="1"/>
  <c r="F11" i="1" s="1"/>
  <c r="C8" i="2" s="1"/>
  <c r="I5" i="4" l="1"/>
  <c r="G5" i="4"/>
  <c r="H5" i="4" s="1"/>
  <c r="J5" i="4"/>
  <c r="J42" i="7"/>
  <c r="J18" i="7"/>
  <c r="J39" i="7"/>
  <c r="H9" i="2"/>
  <c r="I9" i="2" s="1"/>
  <c r="D9" i="2"/>
  <c r="E9" i="2" s="1"/>
  <c r="F9" i="2"/>
  <c r="G9" i="2" s="1"/>
  <c r="J23" i="7"/>
  <c r="F8" i="2"/>
  <c r="H8" i="2" s="1"/>
  <c r="D8" i="2"/>
  <c r="F10" i="2"/>
  <c r="G10" i="2" s="1"/>
  <c r="D10" i="2"/>
  <c r="E10" i="2" s="1"/>
  <c r="J24" i="7"/>
  <c r="J69" i="7"/>
  <c r="J70" i="7"/>
  <c r="J27" i="3"/>
  <c r="J13" i="7"/>
  <c r="J38" i="7"/>
  <c r="J72" i="7"/>
  <c r="J56" i="3"/>
  <c r="J17" i="3"/>
  <c r="J43" i="3"/>
  <c r="J23" i="3"/>
  <c r="J27" i="7"/>
  <c r="J50" i="7"/>
  <c r="J73" i="7"/>
  <c r="H28" i="3"/>
  <c r="G19" i="4"/>
  <c r="H19" i="4" s="1"/>
  <c r="I49" i="7"/>
  <c r="J49" i="7" s="1"/>
  <c r="J67" i="7"/>
  <c r="I42" i="3"/>
  <c r="J42" i="3" s="1"/>
  <c r="I69" i="3"/>
  <c r="F7" i="4"/>
  <c r="J15" i="4"/>
  <c r="G20" i="4"/>
  <c r="H20" i="4" s="1"/>
  <c r="I24" i="7"/>
  <c r="J32" i="7"/>
  <c r="I50" i="7"/>
  <c r="H23" i="3"/>
  <c r="J55" i="3"/>
  <c r="I69" i="7"/>
  <c r="I9" i="3"/>
  <c r="I23" i="3"/>
  <c r="I36" i="3"/>
  <c r="I49" i="3"/>
  <c r="J49" i="3" s="1"/>
  <c r="I63" i="3"/>
  <c r="J11" i="4"/>
  <c r="G16" i="4"/>
  <c r="H16" i="4" s="1"/>
  <c r="I20" i="4"/>
  <c r="J20" i="4" s="1"/>
  <c r="J15" i="7"/>
  <c r="I33" i="7"/>
  <c r="J33" i="7" s="1"/>
  <c r="J41" i="7"/>
  <c r="I59" i="7"/>
  <c r="J59" i="7" s="1"/>
  <c r="I39" i="7"/>
  <c r="I57" i="7"/>
  <c r="J57" i="7" s="1"/>
  <c r="H8" i="3"/>
  <c r="J28" i="3"/>
  <c r="J54" i="3"/>
  <c r="J68" i="3"/>
  <c r="I19" i="4"/>
  <c r="J19" i="4" s="1"/>
  <c r="I13" i="7"/>
  <c r="I16" i="3"/>
  <c r="J16" i="3"/>
  <c r="H49" i="3"/>
  <c r="J9" i="3"/>
  <c r="H17" i="3"/>
  <c r="H30" i="3"/>
  <c r="J36" i="3"/>
  <c r="J63" i="3"/>
  <c r="F12" i="4"/>
  <c r="H54" i="3"/>
  <c r="I8" i="3"/>
  <c r="J8" i="3" s="1"/>
  <c r="H42" i="3"/>
  <c r="J58" i="7"/>
  <c r="I11" i="4"/>
  <c r="I17" i="3"/>
  <c r="I30" i="3"/>
  <c r="J30" i="3" s="1"/>
  <c r="I43" i="3"/>
  <c r="I56" i="3"/>
  <c r="I16" i="4"/>
  <c r="J16" i="4" s="1"/>
  <c r="I16" i="7"/>
  <c r="J16" i="7" s="1"/>
  <c r="I42" i="7"/>
  <c r="I70" i="7"/>
  <c r="J66" i="7"/>
  <c r="H48" i="3"/>
  <c r="I23" i="7"/>
  <c r="I22" i="3"/>
  <c r="J22" i="3" s="1"/>
  <c r="J48" i="3"/>
  <c r="J29" i="3"/>
  <c r="J69" i="3"/>
  <c r="H10" i="3"/>
  <c r="H24" i="3"/>
  <c r="H37" i="3"/>
  <c r="H51" i="3"/>
  <c r="H64" i="3"/>
  <c r="G21" i="4"/>
  <c r="H21" i="4" s="1"/>
  <c r="I8" i="7"/>
  <c r="J8" i="7" s="1"/>
  <c r="H55" i="3"/>
  <c r="J40" i="7"/>
  <c r="H5" i="3"/>
  <c r="H19" i="3"/>
  <c r="H31" i="3"/>
  <c r="H44" i="3"/>
  <c r="H57" i="3"/>
  <c r="H71" i="3"/>
  <c r="G17" i="4"/>
  <c r="H17" i="4" s="1"/>
  <c r="I18" i="7"/>
  <c r="I44" i="7"/>
  <c r="J44" i="7" s="1"/>
  <c r="I71" i="7"/>
  <c r="J71" i="7" s="1"/>
  <c r="J41" i="3"/>
  <c r="I62" i="3"/>
  <c r="J62" i="3"/>
  <c r="I71" i="3"/>
  <c r="J71" i="3" s="1"/>
  <c r="J5" i="3"/>
  <c r="H12" i="3"/>
  <c r="J19" i="3"/>
  <c r="H25" i="3"/>
  <c r="J31" i="3"/>
  <c r="H38" i="3"/>
  <c r="J44" i="3"/>
  <c r="H52" i="3"/>
  <c r="J57" i="3"/>
  <c r="H66" i="3"/>
  <c r="G13" i="4"/>
  <c r="H13" i="4" s="1"/>
  <c r="I17" i="4"/>
  <c r="J17" i="4" s="1"/>
  <c r="I27" i="7"/>
  <c r="I54" i="7"/>
  <c r="J54" i="7" s="1"/>
  <c r="H15" i="3"/>
  <c r="I6" i="4"/>
  <c r="J6" i="4" s="1"/>
  <c r="H29" i="3"/>
  <c r="I12" i="3"/>
  <c r="J12" i="3" s="1"/>
  <c r="I25" i="3"/>
  <c r="J25" i="3" s="1"/>
  <c r="I38" i="3"/>
  <c r="J38" i="3" s="1"/>
  <c r="I52" i="3"/>
  <c r="J52" i="3" s="1"/>
  <c r="I66" i="3"/>
  <c r="J66" i="3" s="1"/>
  <c r="I19" i="7"/>
  <c r="J19" i="7" s="1"/>
  <c r="I45" i="7"/>
  <c r="J45" i="7" s="1"/>
  <c r="I72" i="7"/>
  <c r="J15" i="3"/>
  <c r="J31" i="7"/>
  <c r="J35" i="3"/>
  <c r="I73" i="7"/>
  <c r="H41" i="3"/>
  <c r="H68" i="3"/>
  <c r="G6" i="4"/>
  <c r="H6" i="4" s="1"/>
  <c r="H13" i="3"/>
  <c r="H27" i="3"/>
  <c r="H53" i="3"/>
  <c r="H67" i="3"/>
  <c r="I46" i="7"/>
  <c r="J46" i="7" s="1"/>
  <c r="I13" i="3"/>
  <c r="J13" i="3" s="1"/>
  <c r="I27" i="3"/>
  <c r="I39" i="3"/>
  <c r="J39" i="3" s="1"/>
  <c r="I53" i="3"/>
  <c r="J53" i="3" s="1"/>
  <c r="I67" i="3"/>
  <c r="J67" i="3" s="1"/>
  <c r="I11" i="7"/>
  <c r="J11" i="7" s="1"/>
  <c r="J20" i="7"/>
  <c r="I38" i="7"/>
  <c r="I65" i="7"/>
  <c r="J65" i="7" s="1"/>
  <c r="H35" i="3"/>
  <c r="H39" i="3"/>
  <c r="I8" i="2" l="1"/>
  <c r="I12" i="4"/>
  <c r="J12" i="4" s="1"/>
  <c r="G12" i="4"/>
  <c r="H12" i="4" s="1"/>
  <c r="H10" i="2"/>
  <c r="I10" i="2" s="1"/>
  <c r="E8" i="2"/>
  <c r="F22" i="4"/>
  <c r="J75" i="7"/>
  <c r="G8" i="2"/>
  <c r="I7" i="4"/>
  <c r="I22" i="4" s="1"/>
  <c r="G7" i="4"/>
  <c r="H7" i="4" s="1"/>
  <c r="C11" i="2" l="1"/>
  <c r="G22" i="4"/>
  <c r="H22" i="4" s="1"/>
  <c r="J7" i="4"/>
  <c r="J22" i="4" s="1"/>
  <c r="D11" i="2" l="1"/>
  <c r="F11" i="2"/>
  <c r="C12" i="2"/>
  <c r="G11" i="2" l="1"/>
  <c r="G12" i="2" s="1"/>
  <c r="F12" i="2"/>
  <c r="H11" i="2"/>
  <c r="E11" i="2"/>
  <c r="E12" i="2" s="1"/>
  <c r="D12" i="2"/>
  <c r="I11" i="2" l="1"/>
  <c r="I12" i="2" s="1"/>
  <c r="H12" i="2"/>
</calcChain>
</file>

<file path=xl/sharedStrings.xml><?xml version="1.0" encoding="utf-8"?>
<sst xmlns="http://schemas.openxmlformats.org/spreadsheetml/2006/main" count="751" uniqueCount="329">
  <si>
    <t>Khoản 1 a: Tổng hợp tiền công lao động</t>
  </si>
  <si>
    <t>Định mức chuẩn (đồng/công):</t>
  </si>
  <si>
    <t>Đơn vị tính: đồng</t>
  </si>
  <si>
    <t>TT</t>
  </si>
  <si>
    <t>Họ và tên</t>
  </si>
  <si>
    <t>Chức danh</t>
  </si>
  <si>
    <t>Hệ số công theo ngày</t>
  </si>
  <si>
    <t>Tổng số ngày công (Snc)</t>
  </si>
  <si>
    <t>Tiền công (Tc)</t>
  </si>
  <si>
    <t>Nguyễn Quốc Hội</t>
  </si>
  <si>
    <t>Chủ nhiệm đề tài / PM</t>
  </si>
  <si>
    <t>Trần Tiến Thạnh</t>
  </si>
  <si>
    <t>Thư ký / BA Lead</t>
  </si>
  <si>
    <t>Phạm Đức Hiếu</t>
  </si>
  <si>
    <t>QA/QC &amp; DevOps Engineer</t>
  </si>
  <si>
    <t>Trần Ngọc Đức</t>
  </si>
  <si>
    <t>Frontend &amp; BIM 3D Lead</t>
  </si>
  <si>
    <t>Nguyễn Quốc Công</t>
  </si>
  <si>
    <t>Technical Writer &amp; Support</t>
  </si>
  <si>
    <t>Nguyễn Thành An</t>
  </si>
  <si>
    <t>Tech Lead Backend &amp; DB</t>
  </si>
  <si>
    <t>Tổng cộng:</t>
  </si>
  <si>
    <t>PHỤ LỤC 3</t>
  </si>
  <si>
    <t>DỰ TOÁN KINH PHÍ THỰC HIỆN ĐỀ TÀI</t>
  </si>
  <si>
    <t>(Kèm theo thuyết minh đề tài: CNTT20261_N10)</t>
  </si>
  <si>
    <t>Đơn vị tính: Đồng</t>
  </si>
  <si>
    <t>Nội dung các khoản chi</t>
  </si>
  <si>
    <t>Kinh phí</t>
  </si>
  <si>
    <t>Nguồn vốn</t>
  </si>
  <si>
    <t>Ngân sách SNKH</t>
  </si>
  <si>
    <t>Tổng số</t>
  </si>
  <si>
    <t>Khoán chi</t>
  </si>
  <si>
    <t>Năm 2026 (70%)</t>
  </si>
  <si>
    <t>Năm 2027 (30%)</t>
  </si>
  <si>
    <t>1</t>
  </si>
  <si>
    <t>Công lao động (khoa học, phổ thông)</t>
  </si>
  <si>
    <t>2</t>
  </si>
  <si>
    <t>Nguyên vật liệu</t>
  </si>
  <si>
    <t>3</t>
  </si>
  <si>
    <t>Thiết bị máy chủ, Cloud và phần mềm</t>
  </si>
  <si>
    <t>4</t>
  </si>
  <si>
    <t>Chi khác (quản lý, hội thảo, nghiệm thu, VPP, đào tạo, bảo trì, dự phòng)</t>
  </si>
  <si>
    <t>Bằng chữ: Một tỷ một trăm hai mươi tám triệu năm trăm hai mươi tám nghìn năm trăm đồng.</t>
  </si>
  <si>
    <t>GIẢNG VIÊN HƯỚNG DẪN</t>
  </si>
  <si>
    <t>CHỦ NHIỆM ĐỀ TÀI / PM</t>
  </si>
  <si>
    <t>ThS. Lê Thị Hoa</t>
  </si>
  <si>
    <t>Khoản 1. Công lao động (khoa học, phổ thông) theo phân rã WBS</t>
  </si>
  <si>
    <t>Nội dung công việc WBS</t>
  </si>
  <si>
    <t>Số người</t>
  </si>
  <si>
    <t>Hệ số tiền công</t>
  </si>
  <si>
    <t>Tổng số ngày công</t>
  </si>
  <si>
    <t>Thành tiền (đồng)</t>
  </si>
  <si>
    <t>Nguồn vốn NSNN</t>
  </si>
  <si>
    <t>Năm 2026</t>
  </si>
  <si>
    <t>Năm 2027</t>
  </si>
  <si>
    <t>Khảo sát yêu cầu</t>
  </si>
  <si>
    <t>Khảo sát quy trình quản lý dự án xây dựng và thu thập yêu cầu người dùng</t>
  </si>
  <si>
    <t>Khảo sát hiện trạng</t>
  </si>
  <si>
    <t>Khảo sát thực tế luồng quản lý mô hình BIM, bản vẽ, hồ sơ pháp lý, tiến độ và biểu mẫu (RFI, Submittal, nghiệm thu) tại các bên liên quan.</t>
  </si>
  <si>
    <t>TK</t>
  </si>
  <si>
    <t>Hợp nhất hiện trạng</t>
  </si>
  <si>
    <t>Tổng hợp, phân loại và chuẩn hóa các thông tin khảo sát về thực trạng lưu trữ rời rạc và bất cập trong phối hợp dự án.</t>
  </si>
  <si>
    <t>Phân tích hiện trạng</t>
  </si>
  <si>
    <t>Thảo luận các điểm nghẽn (xung đột phiên bản, chậm phê duyệt, thất lạc hồ sơ) để xác định bài toán cần giải quyết bằng IDD.</t>
  </si>
  <si>
    <t>Đưa ra báo cáo đặc tả yêu cầu</t>
  </si>
  <si>
    <t>Triển khai yêu cầu nghiệp vụ thành Tài liệu đặc tả yêu cầu phần mềm (SRS) cho hệ thống IDD.</t>
  </si>
  <si>
    <t>Mời khách hàng tham vấn</t>
  </si>
  <si>
    <t>Tham vấn Giáo viên hướng dẫn (ThS. Lê Thị Hoa) và đại diện chuyên môn để góp ý tài liệu đặc tả yêu cầu.</t>
  </si>
  <si>
    <t>CN</t>
  </si>
  <si>
    <t>Chỉnh sửa lại yêu cầu phần mềm</t>
  </si>
  <si>
    <t>Tiếp thu ý kiến đóng góp, cập nhật và hoàn thiện lại tài liệu đặc tả yêu cầu hệ thống IDD.</t>
  </si>
  <si>
    <t>Phân tích thiết kế hệ thống</t>
  </si>
  <si>
    <t>Xây dựng kiến trúc, mô hình Use Case và các sơ đồ thiết kế UML</t>
  </si>
  <si>
    <t>Xác định ma trận yêu cầu</t>
  </si>
  <si>
    <t>Lập bảng Ma trận truy vết yêu cầu (Requirement Traceability Matrix) gán công việc với các vai trò thực hiện.</t>
  </si>
  <si>
    <t>TVC</t>
  </si>
  <si>
    <t>Thiết kế kiến trúc hệ thống</t>
  </si>
  <si>
    <t>Đưa ra mô hình kiến trúc tổng quan hệ thống IDD Web (Client-Server, tích hợp BIM Viewer 3D).</t>
  </si>
  <si>
    <t>Thiết kế biểu đồ UC của hệ thống</t>
  </si>
  <si>
    <t>Xác định và phân tích Actor của hệ thống</t>
  </si>
  <si>
    <t>Xác định các tác nhân chính tương tác với hệ thống: Chủ đầu tư, Tư vấn thiết kế, Nhà thầu thi công, Giám sát.</t>
  </si>
  <si>
    <t>Xác định và phân tích các User Case</t>
  </si>
  <si>
    <t>Xác định các nhóm chức năng lõi: Phân quyền, Xem mô hình BIM, Quản lý tài liệu/biểu mẫu, Theo dõi tiến độ.</t>
  </si>
  <si>
    <t>Vẽ biểu đồ User Case tổng quát</t>
  </si>
  <si>
    <t>Xây dựng biểu đồ Use Case tổng quan thể hiện phạm vi chức năng và mối quan hệ giữa các tác nhân với hệ thống IDD.</t>
  </si>
  <si>
    <t>Đặc tả User Case</t>
  </si>
  <si>
    <t>User Case đăng nhập &amp; phân quyền</t>
  </si>
  <si>
    <t>Đặc tả chi tiết luồng đăng nhập, xác thực và phân quyền truy cập đa cấp theo cơ cấu tổ chức dự án.</t>
  </si>
  <si>
    <t>TV</t>
  </si>
  <si>
    <t>User Case quản trị danh mục dự án</t>
  </si>
  <si>
    <t>Đặc tả chức năng khởi tạo dự án, phân công nhân sự và quản lý thông tin chung dự án xây dựng.</t>
  </si>
  <si>
    <t>User Case quản trị tiếp nhận &amp; xem BIM</t>
  </si>
  <si>
    <t>Đặc tả luồng tải lên file mô hình 3D (IFC/RVT), bóc tách thuộc tính và hiển thị trên BIM Viewer.</t>
  </si>
  <si>
    <t>User Case quản trị quá trình xử lý biểu mẫu</t>
  </si>
  <si>
    <t>Đặc tả quy trình tạo, gửi, duyệt và truy vết các biểu mẫu trao đổi (RFI, Submittal, biên bản nghiệm thu).</t>
  </si>
  <si>
    <t>User Case tìm kiếm &amp; tra cứu</t>
  </si>
  <si>
    <t>Đặc tả chức năng tìm kiếm, lọc bản vẽ, tài liệu pháp lý và mô hình BIM theo từ khóa/thuộc tính.</t>
  </si>
  <si>
    <t>User Case báo cáo tiến độ</t>
  </si>
  <si>
    <t>Đặc tả chức năng theo dõi tiến độ thi công, phát hiện và báo cáo xung đột (clash) giữa các bộ môn.</t>
  </si>
  <si>
    <t>Xác định biểu đồ lớp</t>
  </si>
  <si>
    <t>Xây dựng mô hình biểu đồ lớp (Class Diagram) bao gồm các thuộc tính, phương thức và mối quan hệ giữa các đối tượng.</t>
  </si>
  <si>
    <t>Xác định biểu đồ tuần tự</t>
  </si>
  <si>
    <t>Biểu đồ tuần tự đăng nhập</t>
  </si>
  <si>
    <t>Thiết kế trình tự các bước xác thực thông tin tài khoản và cấp token phân quyền.</t>
  </si>
  <si>
    <t>Biểu đồ tuần tự quản trị danh mục dự án</t>
  </si>
  <si>
    <t>Thiết kế trình tự các bước khởi tạo, cập nhật cấu trúc thư mục tài liệu dự án.</t>
  </si>
  <si>
    <t>Biểu đồ tuần tự tiếp nhận &amp; load BIM</t>
  </si>
  <si>
    <t>Thiết kế trình tự các bước upload, xử lý và parse dữ liệu file BIM lên giao diện 3D Web.</t>
  </si>
  <si>
    <t>Biểu đồ tuần tự xử lý biểu mẫu (RFI)</t>
  </si>
  <si>
    <t>Thiết kế trình tự tương tác giữa Nhà thầu - Tư vấn - Chủ đầu tư trong luồng duyệt RFI.</t>
  </si>
  <si>
    <t>Biểu đồ tuần tự tìm kiếm</t>
  </si>
  <si>
    <t>Thiết kế trình tự truy vấn dữ liệu tài liệu, bản vẽ từ giao diện tới CSDL.</t>
  </si>
  <si>
    <t>Biểu đồ tuần tự báo cáo tiến độ</t>
  </si>
  <si>
    <t>Thiết kế trình tự tổng hợp dữ liệu tiến độ công việc và xuất báo cáo thống kê.</t>
  </si>
  <si>
    <t>Xác định sơ đồ hoạt động</t>
  </si>
  <si>
    <t>Sơ đồ hoạt động đăng nhập</t>
  </si>
  <si>
    <t>Xây dựng luồng rẽ nhánh điều hướng người dùng theo từng vai trò (Role) sau khi đăng nhập thành công.</t>
  </si>
  <si>
    <t>Sơ đồ hoạt động quản trị danh mục</t>
  </si>
  <si>
    <t>Xây dựng luồng thực hiện tạo lập dự án, phân quyền các bên tham gia.</t>
  </si>
  <si>
    <t>Sơ đồ hoạt động tiếp nhận &amp; hiển thị BIM</t>
  </si>
  <si>
    <t>Xây dựng luồng hoạt động từ chọn file BIM, kiểm tra định dạng, render 3D tới thao tác xoay/cắt mô hình.</t>
  </si>
  <si>
    <t>Sơ đồ hoạt động xử lý biểu mẫu RFI</t>
  </si>
  <si>
    <t>Xây dựng luồng luân chuyển yêu cầu thông tin từ lúc phát sinh đến khi được phê duyệt và lưu trữ.</t>
  </si>
  <si>
    <t>Sơ đồ hoạt động tìm kiếm tài liệu</t>
  </si>
  <si>
    <t>Xây dựng các bước hoạt động chi tiết khi lọc và tìm kiếm tài liệu/bản vẽ.</t>
  </si>
  <si>
    <t>Sơ đồ hoạt động báo cáo tiến độ</t>
  </si>
  <si>
    <t>Xây dựng luồng thu thập trạng thái công việc và phát hiện vị trí xung đột mô hình (Clash).</t>
  </si>
  <si>
    <t>Thiết kế giao diện</t>
  </si>
  <si>
    <t>Phác thảo UI/UX cho toàn bộ các màn hình ứng dụng IDD Web</t>
  </si>
  <si>
    <t>Thiết kế giao diện phần Người dùng</t>
  </si>
  <si>
    <t>Thiết kế giao diện làm việc chung: Trang xem mô hình BIM 3D, danh sách hồ sơ, form tạo RFI, xem tiến độ.</t>
  </si>
  <si>
    <t>Thiết kế giao diện cho phần Quản trị</t>
  </si>
  <si>
    <t>Thiết kế màn hình Dashboard cho Trưởng dự án/Chủ đầu tư: Phân quyền vai trò, quản lý thành viên, tổng quan tiến độ.</t>
  </si>
  <si>
    <t>Mời khách hàng tham vấn giao diện</t>
  </si>
  <si>
    <t>Trình bày bản Mockup/Prototype giao diện cho GVHD và nhóm người dùng thử nghiệm để nhận góp ý.</t>
  </si>
  <si>
    <t>Chỉnh sửa theo yêu cầu</t>
  </si>
  <si>
    <t>Chỉnh sửa thiết kế UI/UX theo các góp ý về màu sắc, bố cục và tính tiện dụng (Usability).</t>
  </si>
  <si>
    <t>Xây dựng chương trình</t>
  </si>
  <si>
    <t>Lập trình CSDL, Backend API, Frontend Web và các phân hệ chức năng</t>
  </si>
  <si>
    <t>Thiết kế CSDL</t>
  </si>
  <si>
    <t>Xây dựng cấu trúc CSDL thực tế (SQL/NoSQL) theo sơ đồ ERD đã chuẩn hóa.</t>
  </si>
  <si>
    <t>Xây dựng module tầng Data Access</t>
  </si>
  <si>
    <t>Xây dựng tầng kết nối và thao tác CSDL trực tiếp (Repository Pattern/ORM).</t>
  </si>
  <si>
    <t>Xây dựng module tầng ADO/Business Service</t>
  </si>
  <si>
    <t>Xây dựng tầng xử lý logic nghiệp vụ trung gian (Service Layer API).</t>
  </si>
  <si>
    <t>Xây dựng các chức năng phần Quản trị</t>
  </si>
  <si>
    <t>Lập trình các API và giao diện quản trị: Quản lý người dùng, gán quyền, khởi tạo dự án.</t>
  </si>
  <si>
    <t>Xây dựng chức năng phần người dùng</t>
  </si>
  <si>
    <t>Đăng nhập</t>
  </si>
  <si>
    <t>Lập trình chức năng Đăng nhập/Đăng xuất, lưu vết token xác thực người dùng.</t>
  </si>
  <si>
    <t>Quản trị danh mục</t>
  </si>
  <si>
    <t>Lập trình phân hệ quản lý danh mục tài liệu, loại hồ sơ, thư mục dự án.</t>
  </si>
  <si>
    <t>Quản lý tiếp nhận &amp; hiển thị BIM</t>
  </si>
  <si>
    <t>Tích hợp engine hiển thị mô hình BIM 3D (WebGL/Three.js) trên trình duyệt Web.</t>
  </si>
  <si>
    <t>Quản lý quá trình xử lý biểu mẫu</t>
  </si>
  <si>
    <t>Lập trình luồng tạo, gửi, duyệt và lưu vết các biểu mẫu RFI, Submittal, nghiệm thu.</t>
  </si>
  <si>
    <t>Hoạt động tìm kiếm</t>
  </si>
  <si>
    <t>Lập trình công cụ tìm kiếm và lọc dữ liệu hồ sơ/mô hình theo nhiều tiêu chí.</t>
  </si>
  <si>
    <t>Chức năng thống kê báo cáo</t>
  </si>
  <si>
    <t>Lập trình hiển thị Tiến độ dạng Gantt Chart và thống kê số lượng hồ sơ/RFI đã duyệt.</t>
  </si>
  <si>
    <t>Chức năng cho các bên xem kết quả</t>
  </si>
  <si>
    <t>Lập trình giao diện dành cho đơn vị Giám sát/Chủ đầu tư xem mô hình và tra cứu kết quả duyệt.</t>
  </si>
  <si>
    <t>Viết hướng dẫn sử dụng</t>
  </si>
  <si>
    <t>Biện soạn tài liệu Hướng dẫn sử dụng phần mềm chi tiết kèm hình ảnh minh họa.</t>
  </si>
  <si>
    <t>Kiểm thử chương trình</t>
  </si>
  <si>
    <t>Thực hiện kiểm thử chức năng, tích hợp, hiệu năng và sửa lỗi</t>
  </si>
  <si>
    <t>Kiểm thử chức năng</t>
  </si>
  <si>
    <t>Kiểm thử các chức năng phần quản trị</t>
  </si>
  <si>
    <t>Soạn Test Cases và kiểm thử các tính năng phân quyền, tạo tài khoản, khởi tạo dự án.</t>
  </si>
  <si>
    <t>Kiểm thử chức năng phần người dùng</t>
  </si>
  <si>
    <t>Kiểm thử luồng upload file BIM, xem 3D, thao tác cắt/đo đạc và quy trình duyệt RFI.</t>
  </si>
  <si>
    <t>Kiểm thử toàn cục</t>
  </si>
  <si>
    <t>Kiểm thử tích hợp toàn bộ hệ thống (End-to-End Test), kiểm thử hiệu năng load file BIM nặng.</t>
  </si>
  <si>
    <t>Sửa lỗi chương trình</t>
  </si>
  <si>
    <t>Ghi nhận danh sách lỗi (Bugs) và phối hợp với Đội Dev khắc phục triệt để.</t>
  </si>
  <si>
    <t>Triển khai hệ thống</t>
  </si>
  <si>
    <t>Đóng gói, triển khai bản demo thử nghiệm và bảo trì</t>
  </si>
  <si>
    <t>Triển khai trong mạng nội bộ</t>
  </si>
  <si>
    <t>Triển khai phiên bản thử nghiệm (Localhost/Staging Environment) phục vụ kiểm thử nội bộ nhóm.</t>
  </si>
  <si>
    <t>Triển khai ra toàn cục</t>
  </si>
  <si>
    <t>Đóng gói ứng dụng (Docker) và triển khai bản Demo chạy trực tiếp trên môi trường Web (Cloud/Hosting).</t>
  </si>
  <si>
    <t>Báo cáo chương trình</t>
  </si>
  <si>
    <t>Tổng hợp Báo cáo kết quả nghiên cứu, chuẩn bị Slide và kịch bản Demo phục vụ bảo vệ đề tài cuối kỳ.</t>
  </si>
  <si>
    <t>Đào tạo nhân lực sử dụng chương trình</t>
  </si>
  <si>
    <t>Hướng dẫn các thành viên và người dùng thử nghiệm thao tác trên hệ thống IDD Demo.</t>
  </si>
  <si>
    <t>Bảo trì hệ thống</t>
  </si>
  <si>
    <t>Theo dõi, duy trì sự ổn định của hệ thống demo và hỗ trợ kỹ thuật trong suốt quá trình báo cáo nghiệm thu.</t>
  </si>
  <si>
    <t>TỔNG CỘNG THỜI GIAN</t>
  </si>
  <si>
    <t>BẢNG PHÂN BỔ TỔNG HỢP NGÀY CÔNG VÀ TIỀN CÔNG 06 THÀNH VIÊN</t>
  </si>
  <si>
    <t>Họ và tên thành viên</t>
  </si>
  <si>
    <t>Đơn vị công tác</t>
  </si>
  <si>
    <t>Vai trò / Chức danh</t>
  </si>
  <si>
    <t>Hệ số</t>
  </si>
  <si>
    <t>Số ngày công</t>
  </si>
  <si>
    <t>Tỷ lệ đóng góp</t>
  </si>
  <si>
    <t>ĐH Bách khoa Hà Nội</t>
  </si>
  <si>
    <t>13.14%</t>
  </si>
  <si>
    <t>13.71%</t>
  </si>
  <si>
    <t>QA/QC &amp; DevOps Lead</t>
  </si>
  <si>
    <t>18.69%</t>
  </si>
  <si>
    <t>18.29%</t>
  </si>
  <si>
    <t>17.96%</t>
  </si>
  <si>
    <t>18.20%</t>
  </si>
  <si>
    <t>Tổng cộng</t>
  </si>
  <si>
    <t>100.00%</t>
  </si>
  <si>
    <t>Khoản 2: Dự toán chi tiết các chi phí khác</t>
  </si>
  <si>
    <t>Đơn vị tính</t>
  </si>
  <si>
    <t>Số lượng</t>
  </si>
  <si>
    <t>Định mức (đồng)</t>
  </si>
  <si>
    <t>Tổng kinh phí (đồng)</t>
  </si>
  <si>
    <t>Kinh phí quản lý của cơ quan chủ trì</t>
  </si>
  <si>
    <t>Thư ký hành chính &amp; quản lý điều phối hồ sơ</t>
  </si>
  <si>
    <t>Tháng</t>
  </si>
  <si>
    <t>Hội thảo tham vấn chuyên gia &amp; đánh giá kiến trúc</t>
  </si>
  <si>
    <t>Chủ trì hội thảo (1 người)</t>
  </si>
  <si>
    <t>Buổi</t>
  </si>
  <si>
    <t>Thư ký hội thảo (1 người)</t>
  </si>
  <si>
    <t>Báo cáo viên trình bày tại hội thảo</t>
  </si>
  <si>
    <t>Báo cáo</t>
  </si>
  <si>
    <t>Thành viên &amp; chuyên gia tham gia</t>
  </si>
  <si>
    <t>Người</t>
  </si>
  <si>
    <t>Nghiệm thu cơ sở &amp; đánh giá sản phẩm</t>
  </si>
  <si>
    <t>Chủ tịch hội đồng</t>
  </si>
  <si>
    <t>Phó chủ tịch &amp; thành viên hội đồng</t>
  </si>
  <si>
    <t>Thư ký khoa học</t>
  </si>
  <si>
    <t>Đại biểu chuyên gia được mời</t>
  </si>
  <si>
    <t>Phiếu nhận xét đánh giá của ủy viên phản biện</t>
  </si>
  <si>
    <t>Phiếu</t>
  </si>
  <si>
    <t>In ấn, tài liệu, biểu mẫu SRS, HDSD, văn phòng phẩm</t>
  </si>
  <si>
    <t>Gói</t>
  </si>
  <si>
    <t>5</t>
  </si>
  <si>
    <t>Chi phí đường truyền Internet chuyên dụng, kết nối API Cloud</t>
  </si>
  <si>
    <t>6</t>
  </si>
  <si>
    <t>Đào tạo chuyển giao công nghệ &amp; truyền thông demo</t>
  </si>
  <si>
    <t>Đợt</t>
  </si>
  <si>
    <t>7</t>
  </si>
  <si>
    <t>Chi phí bảo trì kỹ thuật &amp; dự phòng rủi ro biến động</t>
  </si>
  <si>
    <t>Bảng dự toán kinh phí nguyên vật liệu, vật tư CDE tiêu hao</t>
  </si>
  <si>
    <t>Tên nguyên vật liệu / Vật tư tiêu hao</t>
  </si>
  <si>
    <t>Đơn giá (đồng)</t>
  </si>
  <si>
    <t>Giai đoạn thực hiện</t>
  </si>
  <si>
    <t>Ổ cứng SSD NVMe 2TB tốc độ cao sao lưu mô hình BIM/CDE</t>
  </si>
  <si>
    <t>Chiếc</t>
  </si>
  <si>
    <t>Giai đoạn 1 &amp; 2</t>
  </si>
  <si>
    <t>Thiết bị lưu trữ đệm tại chỗ (NAS Buffer Storage 4TB)</t>
  </si>
  <si>
    <t>Bộ</t>
  </si>
  <si>
    <t>Giai đoạn 1</t>
  </si>
  <si>
    <t>Vật tư in ấn kỹ thuật, mực in, giấy in bản vẽ CAD/IFC khổ lớn A3/A4</t>
  </si>
  <si>
    <t>Toàn bộ dự án</t>
  </si>
  <si>
    <t>Phụ kiện mạng chuyên dụng, cáp truyền dữ liệu sợi quang đệm</t>
  </si>
  <si>
    <t>Bảng dự toán thiết bị máy chủ, Cloud Server và phần mềm bản quyền</t>
  </si>
  <si>
    <t>Tên thiết bị / Dịch vụ Cloud &amp; Phần mềm bản quyền</t>
  </si>
  <si>
    <t>Thuê Hosting &amp; Tên miền Domain SSL chứng chỉ cao cấp (6 tháng)</t>
  </si>
  <si>
    <t>Giai đoạn 1 (09 - 10/2026)</t>
  </si>
  <si>
    <t>Thuê Cloud Server Dedicated GPU kết xuất mô hình BIM 3D (6 tháng)</t>
  </si>
  <si>
    <t>Bản quyền Autodesk Construction Cloud (ACC) API Gateway</t>
  </si>
  <si>
    <t>Giai đoạn 2 (11 - 12/2026)</t>
  </si>
  <si>
    <t>Bản quyền phần mềm kiểm thử tải cao &amp; an toàn thông tin (JMeter Pro)</t>
  </si>
  <si>
    <t>Bản quyền</t>
  </si>
  <si>
    <t>Đăng ký bản quyền SHTT giải pháp phần mềm và sở hữu trí tuệ</t>
  </si>
  <si>
    <t>Giai đoạn 3 (01 - 03/2027)</t>
  </si>
  <si>
    <t>Thư viện đồ họa WebGL nâng cao và máy trạm kiểm thử hiện trường</t>
  </si>
  <si>
    <t>Hệ thống</t>
  </si>
  <si>
    <t>Giai đoạn 2 &amp; 3</t>
  </si>
  <si>
    <t>Nhóm 10 - CNTT20261_N10</t>
  </si>
  <si>
    <t>BẢNG PHÂN RÃ CÔNG VIỆC (WBS) &amp; ƯỚC LƯỢNG THỜI GIAN PERT</t>
  </si>
  <si>
    <t>Đề tài: Quản lý dự án: Xây dựng hệ thống quản lý và kết nối dữ liệu dự án xây dựng</t>
  </si>
  <si>
    <t>STT</t>
  </si>
  <si>
    <t>Tên công việc / Hạng mục</t>
  </si>
  <si>
    <t>Mô tả công việc cụ thể</t>
  </si>
  <si>
    <t>Thời gian ước lượng (PERT)</t>
  </si>
  <si>
    <t>Tăng 10%</t>
  </si>
  <si>
    <t>EST cuối</t>
  </si>
  <si>
    <t>Người thực hiện</t>
  </si>
  <si>
    <t>Công việc tiên quyết</t>
  </si>
  <si>
    <t>MO (Nhanh)</t>
  </si>
  <si>
    <t>ML (Chuẩn)</t>
  </si>
  <si>
    <t>MP (Tồi)</t>
  </si>
  <si>
    <t>EST</t>
  </si>
  <si>
    <t>Ngày</t>
  </si>
  <si>
    <t>-</t>
  </si>
  <si>
    <t>9</t>
  </si>
  <si>
    <t>10</t>
  </si>
  <si>
    <t>11</t>
  </si>
  <si>
    <t>12, 13, 14, 15, 16, 17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</si>
  <si>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</si>
  <si>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</si>
  <si>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</si>
  <si>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</si>
  <si>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</si>
  <si>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</si>
  <si>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</si>
  <si>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</si>
  <si>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</si>
  <si>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</si>
  <si>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</si>
  <si>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</si>
  <si>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11, 14, 15</t>
  </si>
  <si>
    <t>12, 13</t>
  </si>
  <si>
    <t>Trần Ngọc Đức, Nguyễn Quốc Hội</t>
  </si>
  <si>
    <t>31, 32</t>
  </si>
  <si>
    <t>33</t>
  </si>
  <si>
    <t>18</t>
  </si>
  <si>
    <t>35</t>
  </si>
  <si>
    <t>36</t>
  </si>
  <si>
    <t>37, 32</t>
  </si>
  <si>
    <t>37, 25</t>
  </si>
  <si>
    <t>38, 26</t>
  </si>
  <si>
    <t>37, 27, 31</t>
  </si>
  <si>
    <t>Trần Ngọc Đức, Nguyễn Thành An</t>
  </si>
  <si>
    <t>37, 28, 31</t>
  </si>
  <si>
    <t>37, 29</t>
  </si>
  <si>
    <t>Nguyễn Thành An, Trần Ngọc Đức</t>
  </si>
  <si>
    <t>37, 30, 41</t>
  </si>
  <si>
    <t>41, 42, 44</t>
  </si>
  <si>
    <t>38, 39, 40, 41, 42, 43, 44, 45</t>
  </si>
  <si>
    <t>38, 39, 40</t>
  </si>
  <si>
    <t>41, 42, 43, 44, 45</t>
  </si>
  <si>
    <t>Phạm Đức Hiếu, Nguyễn Quốc Công</t>
  </si>
  <si>
    <t>47, 48</t>
  </si>
  <si>
    <t>49</t>
  </si>
  <si>
    <t>50</t>
  </si>
  <si>
    <t>Nguyễn Thành An, Phạm Đức Hiếu</t>
  </si>
  <si>
    <t>51</t>
  </si>
  <si>
    <t>Trần Tiến Thạnh, Nguyễn Thành An</t>
  </si>
  <si>
    <t>46, 52</t>
  </si>
  <si>
    <t>52, 46</t>
  </si>
  <si>
    <t>53, 54</t>
  </si>
  <si>
    <t>TỔNG CỘNG THỜI GIAN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</si>
</sst>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color rgb="FF000000"/>
      <name val="Times New Roman"/>
    </font>
    <font>
      <i/>
      <sz val="10"/>
      <color rgb="FF000000"/>
      <name val="Times New Roman"/>
    </font>
    <font>
      <sz val="11"/>
      <color rgb="FF000000"/>
      <name val="Times New Roman"/>
    </font>
    <font>
      <b/>
      <sz val="12"/>
      <name val="Times New Roman"/>
    </font>
    <font>
      <b/>
      <sz val="13"/>
      <name val="Times New Roman"/>
    </font>
    <font>
      <b/>
      <i/>
      <sz val="1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3" fontId="2" fillId="0" borderId="0" xfId="0" applyNumberFormat="1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165" fontId="2" fillId="0" borderId="2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164" fontId="4" fillId="0" borderId="1" xfId="0" applyNumberFormat="1" applyFont="1" applyBorder="1" applyAlignment="1">
      <alignment horizontal="right" vertical="center"/>
    </xf>
    <xf numFmtId="0" fontId="2" fillId="0" borderId="0" xfId="0" applyFont="1"/>
    <xf numFmtId="3" fontId="2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25"/>
  <cols>
    <col min="1" max="1" width="8" customWidth="1"/>
    <col min="2" max="2" width="24" customWidth="1"/>
    <col min="3" max="3" width="28" customWidth="1"/>
    <col min="4" max="4" width="22" customWidth="1"/>
    <col min="5" max="6" width="24" customWidth="1"/>
  </cols>
  <sheetData>
    <row r="1" spans="1:8" ht="17.25">
      <c r="A1" s="1" t="s">
        <v>0</v>
      </c>
      <c r="G1" s="2" t="s">
        <v>1</v>
      </c>
      <c r="H1" s="3">
        <v>2530000</v>
      </c>
    </row>
    <row r="2" spans="1:8">
      <c r="A2" s="4" t="s">
        <v>2</v>
      </c>
    </row>
    <row r="3" spans="1:8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5" spans="1:8">
      <c r="A5" s="6">
        <v>1</v>
      </c>
      <c r="B5" s="7" t="s">
        <v>9</v>
      </c>
      <c r="C5" s="7" t="s">
        <v>10</v>
      </c>
      <c r="D5" s="8">
        <v>0.8</v>
      </c>
      <c r="E5" s="9">
        <v>80.5</v>
      </c>
      <c r="F5" s="10">
        <f t="shared" ref="F5:F10" si="0">D5*E5*$H$1</f>
        <v>162932000</v>
      </c>
    </row>
    <row r="6" spans="1:8">
      <c r="A6" s="6">
        <v>2</v>
      </c>
      <c r="B6" s="7" t="s">
        <v>11</v>
      </c>
      <c r="C6" s="7" t="s">
        <v>12</v>
      </c>
      <c r="D6" s="8">
        <v>0.5</v>
      </c>
      <c r="E6" s="9">
        <v>84</v>
      </c>
      <c r="F6" s="10">
        <f t="shared" si="0"/>
        <v>106260000</v>
      </c>
    </row>
    <row r="7" spans="1:8">
      <c r="A7" s="6">
        <v>3</v>
      </c>
      <c r="B7" s="7" t="s">
        <v>13</v>
      </c>
      <c r="C7" s="7" t="s">
        <v>14</v>
      </c>
      <c r="D7" s="8">
        <v>0.4</v>
      </c>
      <c r="E7" s="9">
        <v>114.5</v>
      </c>
      <c r="F7" s="10">
        <f t="shared" si="0"/>
        <v>115874000.00000001</v>
      </c>
    </row>
    <row r="8" spans="1:8">
      <c r="A8" s="6">
        <v>4</v>
      </c>
      <c r="B8" s="7" t="s">
        <v>15</v>
      </c>
      <c r="C8" s="7" t="s">
        <v>16</v>
      </c>
      <c r="D8" s="8">
        <v>0.4</v>
      </c>
      <c r="E8" s="9">
        <v>112</v>
      </c>
      <c r="F8" s="10">
        <f t="shared" si="0"/>
        <v>113344000.00000001</v>
      </c>
    </row>
    <row r="9" spans="1:8">
      <c r="A9" s="6">
        <v>5</v>
      </c>
      <c r="B9" s="7" t="s">
        <v>17</v>
      </c>
      <c r="C9" s="7" t="s">
        <v>18</v>
      </c>
      <c r="D9" s="8">
        <v>0.3</v>
      </c>
      <c r="E9" s="9">
        <v>110</v>
      </c>
      <c r="F9" s="10">
        <f t="shared" si="0"/>
        <v>83490000</v>
      </c>
    </row>
    <row r="10" spans="1:8">
      <c r="A10" s="6">
        <v>6</v>
      </c>
      <c r="B10" s="7" t="s">
        <v>19</v>
      </c>
      <c r="C10" s="7" t="s">
        <v>20</v>
      </c>
      <c r="D10" s="8">
        <v>0.3</v>
      </c>
      <c r="E10" s="9">
        <v>111.5</v>
      </c>
      <c r="F10" s="10">
        <f t="shared" si="0"/>
        <v>84628499.999999985</v>
      </c>
    </row>
    <row r="11" spans="1:8" ht="27">
      <c r="A11" s="11" t="s">
        <v>21</v>
      </c>
      <c r="B11" s="12"/>
      <c r="C11" s="12"/>
      <c r="D11" s="12"/>
      <c r="E11" s="13">
        <f>SUM(E5:E10)</f>
        <v>612.5</v>
      </c>
      <c r="F11" s="14">
        <f>SUM(F5:F10)</f>
        <v>666528500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/>
  </sheetViews>
  <sheetFormatPr defaultRowHeight="14.25"/>
  <cols>
    <col min="1" max="1" width="8" customWidth="1"/>
    <col min="2" max="2" width="45" customWidth="1"/>
    <col min="3" max="3" width="20" customWidth="1"/>
    <col min="4" max="9" width="18" customWidth="1"/>
  </cols>
  <sheetData>
    <row r="1" spans="1:9" ht="15">
      <c r="G1" s="15" t="s">
        <v>22</v>
      </c>
    </row>
    <row r="2" spans="1:9" ht="16.5">
      <c r="B2" s="16" t="s">
        <v>23</v>
      </c>
    </row>
    <row r="3" spans="1:9">
      <c r="B3" s="4" t="s">
        <v>24</v>
      </c>
    </row>
    <row r="4" spans="1:9">
      <c r="G4" s="2" t="s">
        <v>25</v>
      </c>
    </row>
    <row r="5" spans="1:9">
      <c r="A5" s="31" t="s">
        <v>3</v>
      </c>
      <c r="B5" s="31" t="s">
        <v>26</v>
      </c>
      <c r="C5" s="31" t="s">
        <v>27</v>
      </c>
      <c r="D5" s="31" t="s">
        <v>28</v>
      </c>
      <c r="E5" s="35"/>
      <c r="F5" s="35"/>
      <c r="G5" s="35"/>
      <c r="H5" s="35"/>
      <c r="I5" s="36"/>
    </row>
    <row r="6" spans="1:9">
      <c r="A6" s="37"/>
      <c r="B6" s="37"/>
      <c r="C6" s="37"/>
      <c r="D6" s="31" t="s">
        <v>29</v>
      </c>
      <c r="E6" s="35"/>
      <c r="F6" s="35"/>
      <c r="G6" s="35"/>
      <c r="H6" s="35"/>
      <c r="I6" s="36"/>
    </row>
    <row r="7" spans="1:9">
      <c r="A7" s="38"/>
      <c r="B7" s="38"/>
      <c r="C7" s="38"/>
      <c r="D7" s="5" t="s">
        <v>30</v>
      </c>
      <c r="E7" s="5" t="s">
        <v>31</v>
      </c>
      <c r="F7" s="5" t="s">
        <v>32</v>
      </c>
      <c r="G7" s="5" t="s">
        <v>31</v>
      </c>
      <c r="H7" s="5" t="s">
        <v>33</v>
      </c>
      <c r="I7" s="5" t="s">
        <v>31</v>
      </c>
    </row>
    <row r="8" spans="1:9">
      <c r="A8" s="6" t="s">
        <v>34</v>
      </c>
      <c r="B8" s="7" t="s">
        <v>35</v>
      </c>
      <c r="C8" s="10">
        <f>'TỔNG HỢP CÔNG LAO ĐỘNG'!F11</f>
        <v>666528500</v>
      </c>
      <c r="D8" s="10">
        <f t="shared" ref="D8:E11" si="0">C8</f>
        <v>666528500</v>
      </c>
      <c r="E8" s="10">
        <f t="shared" si="0"/>
        <v>666528500</v>
      </c>
      <c r="F8" s="10">
        <f>ROUND(C8*0.7, 0)</f>
        <v>466569950</v>
      </c>
      <c r="G8" s="10">
        <f>F8</f>
        <v>466569950</v>
      </c>
      <c r="H8" s="10">
        <f>C8-F8</f>
        <v>199958550</v>
      </c>
      <c r="I8" s="10">
        <f>H8</f>
        <v>199958550</v>
      </c>
    </row>
    <row r="9" spans="1:9">
      <c r="A9" s="6" t="s">
        <v>36</v>
      </c>
      <c r="B9" s="7" t="s">
        <v>37</v>
      </c>
      <c r="C9" s="10">
        <f>'CHI PHÍ NGUYÊN VẬT LIỆU'!F7</f>
        <v>30000000</v>
      </c>
      <c r="D9" s="10">
        <f t="shared" si="0"/>
        <v>30000000</v>
      </c>
      <c r="E9" s="10">
        <f t="shared" si="0"/>
        <v>30000000</v>
      </c>
      <c r="F9" s="10">
        <f>ROUND(C9*0.7, 0)</f>
        <v>21000000</v>
      </c>
      <c r="G9" s="10">
        <f>F9</f>
        <v>21000000</v>
      </c>
      <c r="H9" s="10">
        <f>C9-F9</f>
        <v>9000000</v>
      </c>
      <c r="I9" s="10">
        <f>H9</f>
        <v>9000000</v>
      </c>
    </row>
    <row r="10" spans="1:9">
      <c r="A10" s="6" t="s">
        <v>38</v>
      </c>
      <c r="B10" s="7" t="s">
        <v>39</v>
      </c>
      <c r="C10" s="10">
        <f>'CHI PHÍ THIẾT BỊ'!F9</f>
        <v>360000000</v>
      </c>
      <c r="D10" s="10">
        <f t="shared" si="0"/>
        <v>360000000</v>
      </c>
      <c r="E10" s="10">
        <f t="shared" si="0"/>
        <v>360000000</v>
      </c>
      <c r="F10" s="10">
        <f>ROUND(C10*0.7, 0)</f>
        <v>252000000</v>
      </c>
      <c r="G10" s="10">
        <f>F10</f>
        <v>252000000</v>
      </c>
      <c r="H10" s="10">
        <f>C10-F10</f>
        <v>108000000</v>
      </c>
      <c r="I10" s="10">
        <f>H10</f>
        <v>108000000</v>
      </c>
    </row>
    <row r="11" spans="1:9" ht="27.75">
      <c r="A11" s="6" t="s">
        <v>40</v>
      </c>
      <c r="B11" s="7" t="s">
        <v>41</v>
      </c>
      <c r="C11" s="10">
        <f>'CHI PHÍ KHÁC'!F22</f>
        <v>72000000</v>
      </c>
      <c r="D11" s="10">
        <f t="shared" si="0"/>
        <v>72000000</v>
      </c>
      <c r="E11" s="10">
        <f t="shared" si="0"/>
        <v>72000000</v>
      </c>
      <c r="F11" s="10">
        <f>ROUND(C11*0.7, 0)</f>
        <v>50400000</v>
      </c>
      <c r="G11" s="10">
        <f>F11</f>
        <v>50400000</v>
      </c>
      <c r="H11" s="10">
        <f>C11-F11</f>
        <v>21600000</v>
      </c>
      <c r="I11" s="10">
        <f>H11</f>
        <v>21600000</v>
      </c>
    </row>
    <row r="12" spans="1:9" ht="27">
      <c r="A12" s="11" t="s">
        <v>21</v>
      </c>
      <c r="B12" s="12"/>
      <c r="C12" s="14">
        <f t="shared" ref="C12:I12" si="1">SUM(C8:C11)</f>
        <v>1128528500</v>
      </c>
      <c r="D12" s="14">
        <f t="shared" si="1"/>
        <v>1128528500</v>
      </c>
      <c r="E12" s="14">
        <f t="shared" si="1"/>
        <v>1128528500</v>
      </c>
      <c r="F12" s="14">
        <f t="shared" si="1"/>
        <v>789969950</v>
      </c>
      <c r="G12" s="14">
        <f t="shared" si="1"/>
        <v>789969950</v>
      </c>
      <c r="H12" s="14">
        <f t="shared" si="1"/>
        <v>338558550</v>
      </c>
      <c r="I12" s="14">
        <f t="shared" si="1"/>
        <v>338558550</v>
      </c>
    </row>
    <row r="13" spans="1:9">
      <c r="A13" s="17" t="s">
        <v>42</v>
      </c>
    </row>
    <row r="15" spans="1:9" ht="27">
      <c r="B15" s="18" t="s">
        <v>43</v>
      </c>
      <c r="G15" s="18" t="s">
        <v>44</v>
      </c>
    </row>
    <row r="18" spans="2:7">
      <c r="B18" s="18" t="s">
        <v>45</v>
      </c>
      <c r="G18" s="18" t="s">
        <v>9</v>
      </c>
    </row>
  </sheetData>
  <mergeCells count="5">
    <mergeCell ref="D5:I5"/>
    <mergeCell ref="C5:C7"/>
    <mergeCell ref="A5:A7"/>
    <mergeCell ref="D6:I6"/>
    <mergeCell ref="B5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topLeftCell="A70" workbookViewId="0"/>
  </sheetViews>
  <sheetFormatPr defaultRowHeight="14.25"/>
  <cols>
    <col min="1" max="1" width="8" customWidth="1"/>
    <col min="2" max="2" width="45" customWidth="1"/>
    <col min="3" max="3" width="14" customWidth="1"/>
    <col min="4" max="4" width="10" customWidth="1"/>
    <col min="5" max="5" width="16" customWidth="1"/>
    <col min="6" max="6" width="18" customWidth="1"/>
    <col min="7" max="7" width="22" customWidth="1"/>
    <col min="8" max="8" width="20" customWidth="1"/>
    <col min="9" max="10" width="18" customWidth="1"/>
  </cols>
  <sheetData>
    <row r="1" spans="1:10" ht="16.5">
      <c r="A1" s="16" t="s">
        <v>46</v>
      </c>
      <c r="J1" s="2" t="s">
        <v>25</v>
      </c>
    </row>
    <row r="3" spans="1:10">
      <c r="A3" s="5" t="s">
        <v>3</v>
      </c>
      <c r="B3" s="5" t="s">
        <v>47</v>
      </c>
      <c r="C3" s="5" t="s">
        <v>5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</row>
    <row r="4" spans="1:10" ht="40.5">
      <c r="A4" s="5" t="s">
        <v>55</v>
      </c>
      <c r="B4" s="19" t="s">
        <v>56</v>
      </c>
      <c r="C4" s="20"/>
      <c r="D4" s="20"/>
      <c r="E4" s="20"/>
      <c r="F4" s="20"/>
      <c r="G4" s="20"/>
      <c r="H4" s="20"/>
      <c r="I4" s="20"/>
      <c r="J4" s="20"/>
    </row>
    <row r="5" spans="1:10" ht="41.65">
      <c r="A5" s="6" t="s">
        <v>57</v>
      </c>
      <c r="B5" s="7" t="s">
        <v>58</v>
      </c>
      <c r="C5" s="6" t="s">
        <v>59</v>
      </c>
      <c r="D5" s="6">
        <v>1</v>
      </c>
      <c r="E5" s="8">
        <v>0.5</v>
      </c>
      <c r="F5" s="21">
        <v>2</v>
      </c>
      <c r="G5" s="10">
        <f t="shared" ref="G5:G10" si="0">D5*E5*F5*2530000</f>
        <v>2530000</v>
      </c>
      <c r="H5" s="10">
        <f t="shared" ref="H5:H10" si="1">G5</f>
        <v>2530000</v>
      </c>
      <c r="I5" s="10">
        <f t="shared" ref="I5:I10" si="2">ROUND(G5*0.7, 0)</f>
        <v>1771000</v>
      </c>
      <c r="J5" s="10">
        <f t="shared" ref="J5:J10" si="3">G5-I5</f>
        <v>759000</v>
      </c>
    </row>
    <row r="6" spans="1:10" ht="41.65">
      <c r="A6" s="6" t="s">
        <v>60</v>
      </c>
      <c r="B6" s="7" t="s">
        <v>61</v>
      </c>
      <c r="C6" s="6" t="s">
        <v>59</v>
      </c>
      <c r="D6" s="6">
        <v>1</v>
      </c>
      <c r="E6" s="8">
        <v>0.5</v>
      </c>
      <c r="F6" s="21">
        <v>2</v>
      </c>
      <c r="G6" s="10">
        <f t="shared" si="0"/>
        <v>2530000</v>
      </c>
      <c r="H6" s="10">
        <f t="shared" si="1"/>
        <v>2530000</v>
      </c>
      <c r="I6" s="10">
        <f t="shared" si="2"/>
        <v>1771000</v>
      </c>
      <c r="J6" s="10">
        <f t="shared" si="3"/>
        <v>759000</v>
      </c>
    </row>
    <row r="7" spans="1:10" ht="41.65">
      <c r="A7" s="6" t="s">
        <v>62</v>
      </c>
      <c r="B7" s="7" t="s">
        <v>63</v>
      </c>
      <c r="C7" s="6" t="s">
        <v>59</v>
      </c>
      <c r="D7" s="6">
        <v>1</v>
      </c>
      <c r="E7" s="8">
        <v>0.5</v>
      </c>
      <c r="F7" s="21">
        <v>2</v>
      </c>
      <c r="G7" s="10">
        <f t="shared" si="0"/>
        <v>2530000</v>
      </c>
      <c r="H7" s="10">
        <f t="shared" si="1"/>
        <v>2530000</v>
      </c>
      <c r="I7" s="10">
        <f t="shared" si="2"/>
        <v>1771000</v>
      </c>
      <c r="J7" s="10">
        <f t="shared" si="3"/>
        <v>759000</v>
      </c>
    </row>
    <row r="8" spans="1:10" ht="55.5">
      <c r="A8" s="6" t="s">
        <v>64</v>
      </c>
      <c r="B8" s="7" t="s">
        <v>65</v>
      </c>
      <c r="C8" s="6" t="s">
        <v>59</v>
      </c>
      <c r="D8" s="6">
        <v>1</v>
      </c>
      <c r="E8" s="8">
        <v>0.5</v>
      </c>
      <c r="F8" s="21">
        <v>2</v>
      </c>
      <c r="G8" s="10">
        <f t="shared" si="0"/>
        <v>2530000</v>
      </c>
      <c r="H8" s="10">
        <f t="shared" si="1"/>
        <v>2530000</v>
      </c>
      <c r="I8" s="10">
        <f t="shared" si="2"/>
        <v>1771000</v>
      </c>
      <c r="J8" s="10">
        <f t="shared" si="3"/>
        <v>759000</v>
      </c>
    </row>
    <row r="9" spans="1:10" ht="55.5">
      <c r="A9" s="6" t="s">
        <v>66</v>
      </c>
      <c r="B9" s="7" t="s">
        <v>67</v>
      </c>
      <c r="C9" s="6" t="s">
        <v>68</v>
      </c>
      <c r="D9" s="6">
        <v>1</v>
      </c>
      <c r="E9" s="8">
        <v>0.8</v>
      </c>
      <c r="F9" s="21">
        <v>2</v>
      </c>
      <c r="G9" s="10">
        <f t="shared" si="0"/>
        <v>4048000</v>
      </c>
      <c r="H9" s="10">
        <f t="shared" si="1"/>
        <v>4048000</v>
      </c>
      <c r="I9" s="10">
        <f t="shared" si="2"/>
        <v>2833600</v>
      </c>
      <c r="J9" s="10">
        <f t="shared" si="3"/>
        <v>1214400</v>
      </c>
    </row>
    <row r="10" spans="1:10" ht="69.400000000000006">
      <c r="A10" s="6" t="s">
        <v>69</v>
      </c>
      <c r="B10" s="7" t="s">
        <v>70</v>
      </c>
      <c r="C10" s="6" t="s">
        <v>59</v>
      </c>
      <c r="D10" s="6">
        <v>1</v>
      </c>
      <c r="E10" s="8">
        <v>0.5</v>
      </c>
      <c r="F10" s="21">
        <v>2</v>
      </c>
      <c r="G10" s="10">
        <f t="shared" si="0"/>
        <v>2530000</v>
      </c>
      <c r="H10" s="10">
        <f t="shared" si="1"/>
        <v>2530000</v>
      </c>
      <c r="I10" s="10">
        <f t="shared" si="2"/>
        <v>1771000</v>
      </c>
      <c r="J10" s="10">
        <f t="shared" si="3"/>
        <v>759000</v>
      </c>
    </row>
    <row r="11" spans="1:10" ht="54">
      <c r="A11" s="5" t="s">
        <v>71</v>
      </c>
      <c r="B11" s="19" t="s">
        <v>72</v>
      </c>
      <c r="C11" s="20"/>
      <c r="D11" s="20"/>
      <c r="E11" s="20"/>
      <c r="F11" s="20"/>
      <c r="G11" s="20"/>
      <c r="H11" s="20"/>
      <c r="I11" s="20"/>
      <c r="J11" s="20"/>
    </row>
    <row r="12" spans="1:10" ht="41.65">
      <c r="A12" s="6" t="s">
        <v>73</v>
      </c>
      <c r="B12" s="7" t="s">
        <v>74</v>
      </c>
      <c r="C12" s="6" t="s">
        <v>75</v>
      </c>
      <c r="D12" s="6">
        <v>1</v>
      </c>
      <c r="E12" s="8">
        <v>0.4</v>
      </c>
      <c r="F12" s="21">
        <v>2</v>
      </c>
      <c r="G12" s="10">
        <f>D12*E12*F12*2530000</f>
        <v>2024000</v>
      </c>
      <c r="H12" s="10">
        <f>G12</f>
        <v>2024000</v>
      </c>
      <c r="I12" s="10">
        <f>ROUND(G12*0.7, 0)</f>
        <v>1416800</v>
      </c>
      <c r="J12" s="10">
        <f>G12-I12</f>
        <v>607200</v>
      </c>
    </row>
    <row r="13" spans="1:10" ht="41.65">
      <c r="A13" s="6" t="s">
        <v>76</v>
      </c>
      <c r="B13" s="7" t="s">
        <v>77</v>
      </c>
      <c r="C13" s="6" t="s">
        <v>75</v>
      </c>
      <c r="D13" s="6">
        <v>1</v>
      </c>
      <c r="E13" s="8">
        <v>0.4</v>
      </c>
      <c r="F13" s="21">
        <v>2</v>
      </c>
      <c r="G13" s="10">
        <f>D13*E13*F13*2530000</f>
        <v>2024000</v>
      </c>
      <c r="H13" s="10">
        <f>G13</f>
        <v>2024000</v>
      </c>
      <c r="I13" s="10">
        <f>ROUND(G13*0.7, 0)</f>
        <v>1416800</v>
      </c>
      <c r="J13" s="10">
        <f>G13-I13</f>
        <v>607200</v>
      </c>
    </row>
    <row r="14" spans="1:10" ht="54">
      <c r="A14" s="5" t="s">
        <v>78</v>
      </c>
      <c r="B14" s="19"/>
      <c r="C14" s="20"/>
      <c r="D14" s="20"/>
      <c r="E14" s="20"/>
      <c r="F14" s="20"/>
      <c r="G14" s="20"/>
      <c r="H14" s="20"/>
      <c r="I14" s="20"/>
      <c r="J14" s="20"/>
    </row>
    <row r="15" spans="1:10" ht="69.400000000000006">
      <c r="A15" s="6" t="s">
        <v>79</v>
      </c>
      <c r="B15" s="7" t="s">
        <v>80</v>
      </c>
      <c r="C15" s="6" t="s">
        <v>75</v>
      </c>
      <c r="D15" s="6">
        <v>1</v>
      </c>
      <c r="E15" s="8">
        <v>0.4</v>
      </c>
      <c r="F15" s="21">
        <v>2</v>
      </c>
      <c r="G15" s="10">
        <f>D15*E15*F15*2530000</f>
        <v>2024000</v>
      </c>
      <c r="H15" s="10">
        <f>G15</f>
        <v>2024000</v>
      </c>
      <c r="I15" s="10">
        <f>ROUND(G15*0.7, 0)</f>
        <v>1416800</v>
      </c>
      <c r="J15" s="10">
        <f>G15-I15</f>
        <v>607200</v>
      </c>
    </row>
    <row r="16" spans="1:10" ht="69.400000000000006">
      <c r="A16" s="6" t="s">
        <v>81</v>
      </c>
      <c r="B16" s="7" t="s">
        <v>82</v>
      </c>
      <c r="C16" s="6" t="s">
        <v>75</v>
      </c>
      <c r="D16" s="6">
        <v>1</v>
      </c>
      <c r="E16" s="8">
        <v>0.4</v>
      </c>
      <c r="F16" s="21">
        <v>2</v>
      </c>
      <c r="G16" s="10">
        <f>D16*E16*F16*2530000</f>
        <v>2024000</v>
      </c>
      <c r="H16" s="10">
        <f>G16</f>
        <v>2024000</v>
      </c>
      <c r="I16" s="10">
        <f>ROUND(G16*0.7, 0)</f>
        <v>1416800</v>
      </c>
      <c r="J16" s="10">
        <f>G16-I16</f>
        <v>607200</v>
      </c>
    </row>
    <row r="17" spans="1:10" ht="55.5">
      <c r="A17" s="6" t="s">
        <v>83</v>
      </c>
      <c r="B17" s="7" t="s">
        <v>84</v>
      </c>
      <c r="C17" s="6" t="s">
        <v>75</v>
      </c>
      <c r="D17" s="6">
        <v>1</v>
      </c>
      <c r="E17" s="8">
        <v>0.4</v>
      </c>
      <c r="F17" s="21">
        <v>2</v>
      </c>
      <c r="G17" s="10">
        <f>D17*E17*F17*2530000</f>
        <v>2024000</v>
      </c>
      <c r="H17" s="10">
        <f>G17</f>
        <v>2024000</v>
      </c>
      <c r="I17" s="10">
        <f>ROUND(G17*0.7, 0)</f>
        <v>1416800</v>
      </c>
      <c r="J17" s="10">
        <f>G17-I17</f>
        <v>607200</v>
      </c>
    </row>
    <row r="18" spans="1:10" ht="40.5">
      <c r="A18" s="5" t="s">
        <v>85</v>
      </c>
      <c r="B18" s="19"/>
      <c r="C18" s="20"/>
      <c r="D18" s="20"/>
      <c r="E18" s="20"/>
      <c r="F18" s="20"/>
      <c r="G18" s="20"/>
      <c r="H18" s="20"/>
      <c r="I18" s="20"/>
      <c r="J18" s="20"/>
    </row>
    <row r="19" spans="1:10" ht="83.25">
      <c r="A19" s="6" t="s">
        <v>86</v>
      </c>
      <c r="B19" s="7" t="s">
        <v>87</v>
      </c>
      <c r="C19" s="6" t="s">
        <v>88</v>
      </c>
      <c r="D19" s="6">
        <v>1</v>
      </c>
      <c r="E19" s="8">
        <v>0.3</v>
      </c>
      <c r="F19" s="21">
        <v>2</v>
      </c>
      <c r="G19" s="10">
        <f t="shared" ref="G19:G25" si="4">D19*E19*F19*2530000</f>
        <v>1518000</v>
      </c>
      <c r="H19" s="10">
        <f t="shared" ref="H19:H25" si="5">G19</f>
        <v>1518000</v>
      </c>
      <c r="I19" s="10">
        <f t="shared" ref="I19:I25" si="6">ROUND(G19*0.7, 0)</f>
        <v>1062600</v>
      </c>
      <c r="J19" s="10">
        <f t="shared" ref="J19:J25" si="7">G19-I19</f>
        <v>455400</v>
      </c>
    </row>
    <row r="20" spans="1:10" ht="69.400000000000006">
      <c r="A20" s="6" t="s">
        <v>89</v>
      </c>
      <c r="B20" s="7" t="s">
        <v>90</v>
      </c>
      <c r="C20" s="6" t="s">
        <v>88</v>
      </c>
      <c r="D20" s="6">
        <v>1</v>
      </c>
      <c r="E20" s="8">
        <v>0.3</v>
      </c>
      <c r="F20" s="21">
        <v>2</v>
      </c>
      <c r="G20" s="10">
        <f t="shared" si="4"/>
        <v>1518000</v>
      </c>
      <c r="H20" s="10">
        <f t="shared" si="5"/>
        <v>1518000</v>
      </c>
      <c r="I20" s="10">
        <f t="shared" si="6"/>
        <v>1062600</v>
      </c>
      <c r="J20" s="10">
        <f t="shared" si="7"/>
        <v>455400</v>
      </c>
    </row>
    <row r="21" spans="1:10" ht="83.25">
      <c r="A21" s="6" t="s">
        <v>91</v>
      </c>
      <c r="B21" s="7" t="s">
        <v>92</v>
      </c>
      <c r="C21" s="6" t="s">
        <v>88</v>
      </c>
      <c r="D21" s="6">
        <v>1</v>
      </c>
      <c r="E21" s="8">
        <v>0.3</v>
      </c>
      <c r="F21" s="21">
        <v>2</v>
      </c>
      <c r="G21" s="10">
        <f t="shared" si="4"/>
        <v>1518000</v>
      </c>
      <c r="H21" s="10">
        <f t="shared" si="5"/>
        <v>1518000</v>
      </c>
      <c r="I21" s="10">
        <f t="shared" si="6"/>
        <v>1062600</v>
      </c>
      <c r="J21" s="10">
        <f t="shared" si="7"/>
        <v>455400</v>
      </c>
    </row>
    <row r="22" spans="1:10" ht="83.25">
      <c r="A22" s="6" t="s">
        <v>93</v>
      </c>
      <c r="B22" s="7" t="s">
        <v>94</v>
      </c>
      <c r="C22" s="6" t="s">
        <v>68</v>
      </c>
      <c r="D22" s="6">
        <v>1</v>
      </c>
      <c r="E22" s="8">
        <v>0.8</v>
      </c>
      <c r="F22" s="21">
        <v>2</v>
      </c>
      <c r="G22" s="10">
        <f t="shared" si="4"/>
        <v>4048000</v>
      </c>
      <c r="H22" s="10">
        <f t="shared" si="5"/>
        <v>4048000</v>
      </c>
      <c r="I22" s="10">
        <f t="shared" si="6"/>
        <v>2833600</v>
      </c>
      <c r="J22" s="10">
        <f t="shared" si="7"/>
        <v>1214400</v>
      </c>
    </row>
    <row r="23" spans="1:10" ht="55.5">
      <c r="A23" s="6" t="s">
        <v>95</v>
      </c>
      <c r="B23" s="7" t="s">
        <v>96</v>
      </c>
      <c r="C23" s="6" t="s">
        <v>68</v>
      </c>
      <c r="D23" s="6">
        <v>1</v>
      </c>
      <c r="E23" s="8">
        <v>0.8</v>
      </c>
      <c r="F23" s="21">
        <v>2</v>
      </c>
      <c r="G23" s="10">
        <f t="shared" si="4"/>
        <v>4048000</v>
      </c>
      <c r="H23" s="10">
        <f t="shared" si="5"/>
        <v>4048000</v>
      </c>
      <c r="I23" s="10">
        <f t="shared" si="6"/>
        <v>2833600</v>
      </c>
      <c r="J23" s="10">
        <f t="shared" si="7"/>
        <v>1214400</v>
      </c>
    </row>
    <row r="24" spans="1:10" ht="55.5">
      <c r="A24" s="6" t="s">
        <v>97</v>
      </c>
      <c r="B24" s="7" t="s">
        <v>98</v>
      </c>
      <c r="C24" s="6" t="s">
        <v>68</v>
      </c>
      <c r="D24" s="6">
        <v>1</v>
      </c>
      <c r="E24" s="8">
        <v>0.8</v>
      </c>
      <c r="F24" s="21">
        <v>2</v>
      </c>
      <c r="G24" s="10">
        <f t="shared" si="4"/>
        <v>4048000</v>
      </c>
      <c r="H24" s="10">
        <f t="shared" si="5"/>
        <v>4048000</v>
      </c>
      <c r="I24" s="10">
        <f t="shared" si="6"/>
        <v>2833600</v>
      </c>
      <c r="J24" s="10">
        <f t="shared" si="7"/>
        <v>1214400</v>
      </c>
    </row>
    <row r="25" spans="1:10" ht="41.65">
      <c r="A25" s="6" t="s">
        <v>99</v>
      </c>
      <c r="B25" s="7" t="s">
        <v>100</v>
      </c>
      <c r="C25" s="6" t="s">
        <v>68</v>
      </c>
      <c r="D25" s="6">
        <v>1</v>
      </c>
      <c r="E25" s="8">
        <v>0.8</v>
      </c>
      <c r="F25" s="21">
        <v>2</v>
      </c>
      <c r="G25" s="10">
        <f t="shared" si="4"/>
        <v>4048000</v>
      </c>
      <c r="H25" s="10">
        <f t="shared" si="5"/>
        <v>4048000</v>
      </c>
      <c r="I25" s="10">
        <f t="shared" si="6"/>
        <v>2833600</v>
      </c>
      <c r="J25" s="10">
        <f t="shared" si="7"/>
        <v>1214400</v>
      </c>
    </row>
    <row r="26" spans="1:10" ht="54">
      <c r="A26" s="5" t="s">
        <v>101</v>
      </c>
      <c r="B26" s="19"/>
      <c r="C26" s="20"/>
      <c r="D26" s="20"/>
      <c r="E26" s="20"/>
      <c r="F26" s="20"/>
      <c r="G26" s="20"/>
      <c r="H26" s="20"/>
      <c r="I26" s="20"/>
      <c r="J26" s="20"/>
    </row>
    <row r="27" spans="1:10" ht="55.5">
      <c r="A27" s="6" t="s">
        <v>102</v>
      </c>
      <c r="B27" s="7" t="s">
        <v>103</v>
      </c>
      <c r="C27" s="6" t="s">
        <v>88</v>
      </c>
      <c r="D27" s="6">
        <v>1</v>
      </c>
      <c r="E27" s="8">
        <v>0.3</v>
      </c>
      <c r="F27" s="21">
        <v>2</v>
      </c>
      <c r="G27" s="10">
        <f t="shared" ref="G27:G32" si="8">D27*E27*F27*2530000</f>
        <v>1518000</v>
      </c>
      <c r="H27" s="10">
        <f t="shared" ref="H27:H32" si="9">G27</f>
        <v>1518000</v>
      </c>
      <c r="I27" s="10">
        <f t="shared" ref="I27:I32" si="10">ROUND(G27*0.7, 0)</f>
        <v>1062600</v>
      </c>
      <c r="J27" s="10">
        <f t="shared" ref="J27:J32" si="11">G27-I27</f>
        <v>455400</v>
      </c>
    </row>
    <row r="28" spans="1:10" ht="69.400000000000006">
      <c r="A28" s="6" t="s">
        <v>104</v>
      </c>
      <c r="B28" s="7" t="s">
        <v>105</v>
      </c>
      <c r="C28" s="6" t="s">
        <v>88</v>
      </c>
      <c r="D28" s="6">
        <v>1</v>
      </c>
      <c r="E28" s="8">
        <v>0.3</v>
      </c>
      <c r="F28" s="21">
        <v>2</v>
      </c>
      <c r="G28" s="10">
        <f t="shared" si="8"/>
        <v>1518000</v>
      </c>
      <c r="H28" s="10">
        <f t="shared" si="9"/>
        <v>1518000</v>
      </c>
      <c r="I28" s="10">
        <f t="shared" si="10"/>
        <v>1062600</v>
      </c>
      <c r="J28" s="10">
        <f t="shared" si="11"/>
        <v>455400</v>
      </c>
    </row>
    <row r="29" spans="1:10" ht="69.400000000000006">
      <c r="A29" s="6" t="s">
        <v>106</v>
      </c>
      <c r="B29" s="7" t="s">
        <v>107</v>
      </c>
      <c r="C29" s="6" t="s">
        <v>88</v>
      </c>
      <c r="D29" s="6">
        <v>1</v>
      </c>
      <c r="E29" s="8">
        <v>0.3</v>
      </c>
      <c r="F29" s="21">
        <v>2</v>
      </c>
      <c r="G29" s="10">
        <f t="shared" si="8"/>
        <v>1518000</v>
      </c>
      <c r="H29" s="10">
        <f t="shared" si="9"/>
        <v>1518000</v>
      </c>
      <c r="I29" s="10">
        <f t="shared" si="10"/>
        <v>1062600</v>
      </c>
      <c r="J29" s="10">
        <f t="shared" si="11"/>
        <v>455400</v>
      </c>
    </row>
    <row r="30" spans="1:10" ht="69.400000000000006">
      <c r="A30" s="6" t="s">
        <v>108</v>
      </c>
      <c r="B30" s="7" t="s">
        <v>109</v>
      </c>
      <c r="C30" s="6" t="s">
        <v>88</v>
      </c>
      <c r="D30" s="6">
        <v>1</v>
      </c>
      <c r="E30" s="8">
        <v>0.3</v>
      </c>
      <c r="F30" s="21">
        <v>2</v>
      </c>
      <c r="G30" s="10">
        <f t="shared" si="8"/>
        <v>1518000</v>
      </c>
      <c r="H30" s="10">
        <f t="shared" si="9"/>
        <v>1518000</v>
      </c>
      <c r="I30" s="10">
        <f t="shared" si="10"/>
        <v>1062600</v>
      </c>
      <c r="J30" s="10">
        <f t="shared" si="11"/>
        <v>455400</v>
      </c>
    </row>
    <row r="31" spans="1:10" ht="41.65">
      <c r="A31" s="6" t="s">
        <v>110</v>
      </c>
      <c r="B31" s="7" t="s">
        <v>111</v>
      </c>
      <c r="C31" s="6" t="s">
        <v>68</v>
      </c>
      <c r="D31" s="6">
        <v>1</v>
      </c>
      <c r="E31" s="8">
        <v>0.8</v>
      </c>
      <c r="F31" s="21">
        <v>2</v>
      </c>
      <c r="G31" s="10">
        <f t="shared" si="8"/>
        <v>4048000</v>
      </c>
      <c r="H31" s="10">
        <f t="shared" si="9"/>
        <v>4048000</v>
      </c>
      <c r="I31" s="10">
        <f t="shared" si="10"/>
        <v>2833600</v>
      </c>
      <c r="J31" s="10">
        <f t="shared" si="11"/>
        <v>1214400</v>
      </c>
    </row>
    <row r="32" spans="1:10" ht="55.5">
      <c r="A32" s="6" t="s">
        <v>112</v>
      </c>
      <c r="B32" s="7" t="s">
        <v>113</v>
      </c>
      <c r="C32" s="6" t="s">
        <v>68</v>
      </c>
      <c r="D32" s="6">
        <v>1</v>
      </c>
      <c r="E32" s="8">
        <v>0.8</v>
      </c>
      <c r="F32" s="21">
        <v>2</v>
      </c>
      <c r="G32" s="10">
        <f t="shared" si="8"/>
        <v>4048000</v>
      </c>
      <c r="H32" s="10">
        <f t="shared" si="9"/>
        <v>4048000</v>
      </c>
      <c r="I32" s="10">
        <f t="shared" si="10"/>
        <v>2833600</v>
      </c>
      <c r="J32" s="10">
        <f t="shared" si="11"/>
        <v>1214400</v>
      </c>
    </row>
    <row r="33" spans="1:10" ht="54">
      <c r="A33" s="5" t="s">
        <v>114</v>
      </c>
      <c r="B33" s="19"/>
      <c r="C33" s="20"/>
      <c r="D33" s="20"/>
      <c r="E33" s="20"/>
      <c r="F33" s="20"/>
      <c r="G33" s="20"/>
      <c r="H33" s="20"/>
      <c r="I33" s="20"/>
      <c r="J33" s="20"/>
    </row>
    <row r="34" spans="1:10" ht="69.400000000000006">
      <c r="A34" s="6" t="s">
        <v>115</v>
      </c>
      <c r="B34" s="7" t="s">
        <v>116</v>
      </c>
      <c r="C34" s="6" t="s">
        <v>88</v>
      </c>
      <c r="D34" s="6">
        <v>1</v>
      </c>
      <c r="E34" s="8">
        <v>0.3</v>
      </c>
      <c r="F34" s="21">
        <v>2</v>
      </c>
      <c r="G34" s="10">
        <f t="shared" ref="G34:G39" si="12">D34*E34*F34*2530000</f>
        <v>1518000</v>
      </c>
      <c r="H34" s="10">
        <f t="shared" ref="H34:H39" si="13">G34</f>
        <v>1518000</v>
      </c>
      <c r="I34" s="10">
        <f t="shared" ref="I34:I39" si="14">ROUND(G34*0.7, 0)</f>
        <v>1062600</v>
      </c>
      <c r="J34" s="10">
        <f t="shared" ref="J34:J39" si="15">G34-I34</f>
        <v>455400</v>
      </c>
    </row>
    <row r="35" spans="1:10" ht="69.400000000000006">
      <c r="A35" s="6" t="s">
        <v>117</v>
      </c>
      <c r="B35" s="7" t="s">
        <v>118</v>
      </c>
      <c r="C35" s="6" t="s">
        <v>88</v>
      </c>
      <c r="D35" s="6">
        <v>1</v>
      </c>
      <c r="E35" s="8">
        <v>0.3</v>
      </c>
      <c r="F35" s="21">
        <v>2</v>
      </c>
      <c r="G35" s="10">
        <f t="shared" si="12"/>
        <v>1518000</v>
      </c>
      <c r="H35" s="10">
        <f t="shared" si="13"/>
        <v>1518000</v>
      </c>
      <c r="I35" s="10">
        <f t="shared" si="14"/>
        <v>1062600</v>
      </c>
      <c r="J35" s="10">
        <f t="shared" si="15"/>
        <v>455400</v>
      </c>
    </row>
    <row r="36" spans="1:10" ht="83.25">
      <c r="A36" s="6" t="s">
        <v>119</v>
      </c>
      <c r="B36" s="7" t="s">
        <v>120</v>
      </c>
      <c r="C36" s="6" t="s">
        <v>88</v>
      </c>
      <c r="D36" s="6">
        <v>1</v>
      </c>
      <c r="E36" s="8">
        <v>0.3</v>
      </c>
      <c r="F36" s="21">
        <v>2</v>
      </c>
      <c r="G36" s="10">
        <f t="shared" si="12"/>
        <v>1518000</v>
      </c>
      <c r="H36" s="10">
        <f t="shared" si="13"/>
        <v>1518000</v>
      </c>
      <c r="I36" s="10">
        <f t="shared" si="14"/>
        <v>1062600</v>
      </c>
      <c r="J36" s="10">
        <f t="shared" si="15"/>
        <v>455400</v>
      </c>
    </row>
    <row r="37" spans="1:10" ht="69.400000000000006">
      <c r="A37" s="6" t="s">
        <v>121</v>
      </c>
      <c r="B37" s="7" t="s">
        <v>122</v>
      </c>
      <c r="C37" s="6" t="s">
        <v>88</v>
      </c>
      <c r="D37" s="6">
        <v>1</v>
      </c>
      <c r="E37" s="8">
        <v>0.3</v>
      </c>
      <c r="F37" s="21">
        <v>2</v>
      </c>
      <c r="G37" s="10">
        <f t="shared" si="12"/>
        <v>1518000</v>
      </c>
      <c r="H37" s="10">
        <f t="shared" si="13"/>
        <v>1518000</v>
      </c>
      <c r="I37" s="10">
        <f t="shared" si="14"/>
        <v>1062600</v>
      </c>
      <c r="J37" s="10">
        <f t="shared" si="15"/>
        <v>455400</v>
      </c>
    </row>
    <row r="38" spans="1:10" ht="69.400000000000006">
      <c r="A38" s="6" t="s">
        <v>123</v>
      </c>
      <c r="B38" s="7" t="s">
        <v>124</v>
      </c>
      <c r="C38" s="6" t="s">
        <v>68</v>
      </c>
      <c r="D38" s="6">
        <v>1</v>
      </c>
      <c r="E38" s="8">
        <v>0.8</v>
      </c>
      <c r="F38" s="21">
        <v>2</v>
      </c>
      <c r="G38" s="10">
        <f t="shared" si="12"/>
        <v>4048000</v>
      </c>
      <c r="H38" s="10">
        <f t="shared" si="13"/>
        <v>4048000</v>
      </c>
      <c r="I38" s="10">
        <f t="shared" si="14"/>
        <v>2833600</v>
      </c>
      <c r="J38" s="10">
        <f t="shared" si="15"/>
        <v>1214400</v>
      </c>
    </row>
    <row r="39" spans="1:10" ht="69.400000000000006">
      <c r="A39" s="6" t="s">
        <v>125</v>
      </c>
      <c r="B39" s="7" t="s">
        <v>126</v>
      </c>
      <c r="C39" s="6" t="s">
        <v>68</v>
      </c>
      <c r="D39" s="6">
        <v>1</v>
      </c>
      <c r="E39" s="8">
        <v>0.8</v>
      </c>
      <c r="F39" s="21">
        <v>2</v>
      </c>
      <c r="G39" s="10">
        <f t="shared" si="12"/>
        <v>4048000</v>
      </c>
      <c r="H39" s="10">
        <f t="shared" si="13"/>
        <v>4048000</v>
      </c>
      <c r="I39" s="10">
        <f t="shared" si="14"/>
        <v>2833600</v>
      </c>
      <c r="J39" s="10">
        <f t="shared" si="15"/>
        <v>1214400</v>
      </c>
    </row>
    <row r="40" spans="1:10" ht="40.5">
      <c r="A40" s="5" t="s">
        <v>127</v>
      </c>
      <c r="B40" s="19" t="s">
        <v>128</v>
      </c>
      <c r="C40" s="20"/>
      <c r="D40" s="20"/>
      <c r="E40" s="20"/>
      <c r="F40" s="20"/>
      <c r="G40" s="20"/>
      <c r="H40" s="20"/>
      <c r="I40" s="20"/>
      <c r="J40" s="20"/>
    </row>
    <row r="41" spans="1:10" ht="69.400000000000006">
      <c r="A41" s="6" t="s">
        <v>129</v>
      </c>
      <c r="B41" s="7" t="s">
        <v>130</v>
      </c>
      <c r="C41" s="6" t="s">
        <v>75</v>
      </c>
      <c r="D41" s="6">
        <v>1</v>
      </c>
      <c r="E41" s="8">
        <v>0.4</v>
      </c>
      <c r="F41" s="21">
        <v>2</v>
      </c>
      <c r="G41" s="10">
        <f>D41*E41*F41*2530000</f>
        <v>2024000</v>
      </c>
      <c r="H41" s="10">
        <f>G41</f>
        <v>2024000</v>
      </c>
      <c r="I41" s="10">
        <f>ROUND(G41*0.7, 0)</f>
        <v>1416800</v>
      </c>
      <c r="J41" s="10">
        <f>G41-I41</f>
        <v>607200</v>
      </c>
    </row>
    <row r="42" spans="1:10" ht="55.5">
      <c r="A42" s="6" t="s">
        <v>131</v>
      </c>
      <c r="B42" s="7" t="s">
        <v>132</v>
      </c>
      <c r="C42" s="6" t="s">
        <v>75</v>
      </c>
      <c r="D42" s="6">
        <v>1</v>
      </c>
      <c r="E42" s="8">
        <v>0.4</v>
      </c>
      <c r="F42" s="21">
        <v>2</v>
      </c>
      <c r="G42" s="10">
        <f>D42*E42*F42*2530000</f>
        <v>2024000</v>
      </c>
      <c r="H42" s="10">
        <f>G42</f>
        <v>2024000</v>
      </c>
      <c r="I42" s="10">
        <f>ROUND(G42*0.7, 0)</f>
        <v>1416800</v>
      </c>
      <c r="J42" s="10">
        <f>G42-I42</f>
        <v>607200</v>
      </c>
    </row>
    <row r="43" spans="1:10" ht="69.400000000000006">
      <c r="A43" s="6" t="s">
        <v>133</v>
      </c>
      <c r="B43" s="7" t="s">
        <v>134</v>
      </c>
      <c r="C43" s="6" t="s">
        <v>68</v>
      </c>
      <c r="D43" s="6">
        <v>1</v>
      </c>
      <c r="E43" s="8">
        <v>0.8</v>
      </c>
      <c r="F43" s="21">
        <v>2</v>
      </c>
      <c r="G43" s="10">
        <f>D43*E43*F43*2530000</f>
        <v>4048000</v>
      </c>
      <c r="H43" s="10">
        <f>G43</f>
        <v>4048000</v>
      </c>
      <c r="I43" s="10">
        <f>ROUND(G43*0.7, 0)</f>
        <v>2833600</v>
      </c>
      <c r="J43" s="10">
        <f>G43-I43</f>
        <v>1214400</v>
      </c>
    </row>
    <row r="44" spans="1:10" ht="41.65">
      <c r="A44" s="6" t="s">
        <v>135</v>
      </c>
      <c r="B44" s="7" t="s">
        <v>136</v>
      </c>
      <c r="C44" s="6" t="s">
        <v>75</v>
      </c>
      <c r="D44" s="6">
        <v>1</v>
      </c>
      <c r="E44" s="8">
        <v>0.4</v>
      </c>
      <c r="F44" s="21">
        <v>2</v>
      </c>
      <c r="G44" s="10">
        <f>D44*E44*F44*2530000</f>
        <v>2024000</v>
      </c>
      <c r="H44" s="10">
        <f>G44</f>
        <v>2024000</v>
      </c>
      <c r="I44" s="10">
        <f>ROUND(G44*0.7, 0)</f>
        <v>1416800</v>
      </c>
      <c r="J44" s="10">
        <f>G44-I44</f>
        <v>607200</v>
      </c>
    </row>
    <row r="45" spans="1:10" ht="54">
      <c r="A45" s="5" t="s">
        <v>137</v>
      </c>
      <c r="B45" s="19" t="s">
        <v>138</v>
      </c>
      <c r="C45" s="20"/>
      <c r="D45" s="20"/>
      <c r="E45" s="20"/>
      <c r="F45" s="20"/>
      <c r="G45" s="20"/>
      <c r="H45" s="20"/>
      <c r="I45" s="20"/>
      <c r="J45" s="20"/>
    </row>
    <row r="46" spans="1:10" ht="27.75">
      <c r="A46" s="6" t="s">
        <v>139</v>
      </c>
      <c r="B46" s="7" t="s">
        <v>140</v>
      </c>
      <c r="C46" s="6" t="s">
        <v>59</v>
      </c>
      <c r="D46" s="6">
        <v>1</v>
      </c>
      <c r="E46" s="8">
        <v>0.5</v>
      </c>
      <c r="F46" s="21">
        <v>2</v>
      </c>
      <c r="G46" s="10">
        <f>D46*E46*F46*2530000</f>
        <v>2530000</v>
      </c>
      <c r="H46" s="10">
        <f>G46</f>
        <v>2530000</v>
      </c>
      <c r="I46" s="10">
        <f>ROUND(G46*0.7, 0)</f>
        <v>1771000</v>
      </c>
      <c r="J46" s="10">
        <f>G46-I46</f>
        <v>759000</v>
      </c>
    </row>
    <row r="47" spans="1:10" ht="69.400000000000006">
      <c r="A47" s="6" t="s">
        <v>141</v>
      </c>
      <c r="B47" s="7" t="s">
        <v>142</v>
      </c>
      <c r="C47" s="6" t="s">
        <v>88</v>
      </c>
      <c r="D47" s="6">
        <v>1</v>
      </c>
      <c r="E47" s="8">
        <v>0.3</v>
      </c>
      <c r="F47" s="21">
        <v>2</v>
      </c>
      <c r="G47" s="10">
        <f>D47*E47*F47*2530000</f>
        <v>1518000</v>
      </c>
      <c r="H47" s="10">
        <f>G47</f>
        <v>1518000</v>
      </c>
      <c r="I47" s="10">
        <f>ROUND(G47*0.7, 0)</f>
        <v>1062600</v>
      </c>
      <c r="J47" s="10">
        <f>G47-I47</f>
        <v>455400</v>
      </c>
    </row>
    <row r="48" spans="1:10" ht="97.15">
      <c r="A48" s="6" t="s">
        <v>143</v>
      </c>
      <c r="B48" s="7" t="s">
        <v>144</v>
      </c>
      <c r="C48" s="6" t="s">
        <v>88</v>
      </c>
      <c r="D48" s="6">
        <v>1</v>
      </c>
      <c r="E48" s="8">
        <v>0.3</v>
      </c>
      <c r="F48" s="21">
        <v>2</v>
      </c>
      <c r="G48" s="10">
        <f>D48*E48*F48*2530000</f>
        <v>1518000</v>
      </c>
      <c r="H48" s="10">
        <f>G48</f>
        <v>1518000</v>
      </c>
      <c r="I48" s="10">
        <f>ROUND(G48*0.7, 0)</f>
        <v>1062600</v>
      </c>
      <c r="J48" s="10">
        <f>G48-I48</f>
        <v>455400</v>
      </c>
    </row>
    <row r="49" spans="1:10" ht="83.25">
      <c r="A49" s="6" t="s">
        <v>145</v>
      </c>
      <c r="B49" s="7" t="s">
        <v>146</v>
      </c>
      <c r="C49" s="6" t="s">
        <v>88</v>
      </c>
      <c r="D49" s="6">
        <v>1</v>
      </c>
      <c r="E49" s="8">
        <v>0.3</v>
      </c>
      <c r="F49" s="21">
        <v>2</v>
      </c>
      <c r="G49" s="10">
        <f>D49*E49*F49*2530000</f>
        <v>1518000</v>
      </c>
      <c r="H49" s="10">
        <f>G49</f>
        <v>1518000</v>
      </c>
      <c r="I49" s="10">
        <f>ROUND(G49*0.7, 0)</f>
        <v>1062600</v>
      </c>
      <c r="J49" s="10">
        <f>G49-I49</f>
        <v>455400</v>
      </c>
    </row>
    <row r="50" spans="1:10" ht="94.5">
      <c r="A50" s="5" t="s">
        <v>147</v>
      </c>
      <c r="B50" s="19"/>
      <c r="C50" s="20"/>
      <c r="D50" s="20"/>
      <c r="E50" s="20"/>
      <c r="F50" s="20"/>
      <c r="G50" s="20"/>
      <c r="H50" s="20"/>
      <c r="I50" s="20"/>
      <c r="J50" s="20"/>
    </row>
    <row r="51" spans="1:10" ht="27.75">
      <c r="A51" s="6" t="s">
        <v>148</v>
      </c>
      <c r="B51" s="7" t="s">
        <v>149</v>
      </c>
      <c r="C51" s="6" t="s">
        <v>88</v>
      </c>
      <c r="D51" s="6">
        <v>1</v>
      </c>
      <c r="E51" s="8">
        <v>0.3</v>
      </c>
      <c r="F51" s="21">
        <v>2</v>
      </c>
      <c r="G51" s="10">
        <f t="shared" ref="G51:G58" si="16">D51*E51*F51*2530000</f>
        <v>1518000</v>
      </c>
      <c r="H51" s="10">
        <f t="shared" ref="H51:H58" si="17">G51</f>
        <v>1518000</v>
      </c>
      <c r="I51" s="10">
        <f t="shared" ref="I51:I58" si="18">ROUND(G51*0.7, 0)</f>
        <v>1062600</v>
      </c>
      <c r="J51" s="10">
        <f t="shared" ref="J51:J58" si="19">G51-I51</f>
        <v>455400</v>
      </c>
    </row>
    <row r="52" spans="1:10" ht="27.75">
      <c r="A52" s="6" t="s">
        <v>150</v>
      </c>
      <c r="B52" s="7" t="s">
        <v>151</v>
      </c>
      <c r="C52" s="6" t="s">
        <v>75</v>
      </c>
      <c r="D52" s="6">
        <v>1</v>
      </c>
      <c r="E52" s="8">
        <v>0.4</v>
      </c>
      <c r="F52" s="21">
        <v>2</v>
      </c>
      <c r="G52" s="10">
        <f t="shared" si="16"/>
        <v>2024000</v>
      </c>
      <c r="H52" s="10">
        <f t="shared" si="17"/>
        <v>2024000</v>
      </c>
      <c r="I52" s="10">
        <f t="shared" si="18"/>
        <v>1416800</v>
      </c>
      <c r="J52" s="10">
        <f t="shared" si="19"/>
        <v>607200</v>
      </c>
    </row>
    <row r="53" spans="1:10" ht="55.5">
      <c r="A53" s="6" t="s">
        <v>152</v>
      </c>
      <c r="B53" s="7" t="s">
        <v>153</v>
      </c>
      <c r="C53" s="6" t="s">
        <v>75</v>
      </c>
      <c r="D53" s="6">
        <v>1</v>
      </c>
      <c r="E53" s="8">
        <v>0.4</v>
      </c>
      <c r="F53" s="21">
        <v>2</v>
      </c>
      <c r="G53" s="10">
        <f t="shared" si="16"/>
        <v>2024000</v>
      </c>
      <c r="H53" s="10">
        <f t="shared" si="17"/>
        <v>2024000</v>
      </c>
      <c r="I53" s="10">
        <f t="shared" si="18"/>
        <v>1416800</v>
      </c>
      <c r="J53" s="10">
        <f t="shared" si="19"/>
        <v>607200</v>
      </c>
    </row>
    <row r="54" spans="1:10" ht="55.5">
      <c r="A54" s="6" t="s">
        <v>154</v>
      </c>
      <c r="B54" s="7" t="s">
        <v>155</v>
      </c>
      <c r="C54" s="6" t="s">
        <v>75</v>
      </c>
      <c r="D54" s="6">
        <v>1</v>
      </c>
      <c r="E54" s="8">
        <v>0.4</v>
      </c>
      <c r="F54" s="21">
        <v>2</v>
      </c>
      <c r="G54" s="10">
        <f t="shared" si="16"/>
        <v>2024000</v>
      </c>
      <c r="H54" s="10">
        <f t="shared" si="17"/>
        <v>2024000</v>
      </c>
      <c r="I54" s="10">
        <f t="shared" si="18"/>
        <v>1416800</v>
      </c>
      <c r="J54" s="10">
        <f t="shared" si="19"/>
        <v>607200</v>
      </c>
    </row>
    <row r="55" spans="1:10" ht="41.65">
      <c r="A55" s="6" t="s">
        <v>156</v>
      </c>
      <c r="B55" s="7" t="s">
        <v>157</v>
      </c>
      <c r="C55" s="6" t="s">
        <v>75</v>
      </c>
      <c r="D55" s="6">
        <v>1</v>
      </c>
      <c r="E55" s="8">
        <v>0.4</v>
      </c>
      <c r="F55" s="21">
        <v>2</v>
      </c>
      <c r="G55" s="10">
        <f t="shared" si="16"/>
        <v>2024000</v>
      </c>
      <c r="H55" s="10">
        <f t="shared" si="17"/>
        <v>2024000</v>
      </c>
      <c r="I55" s="10">
        <f t="shared" si="18"/>
        <v>1416800</v>
      </c>
      <c r="J55" s="10">
        <f t="shared" si="19"/>
        <v>607200</v>
      </c>
    </row>
    <row r="56" spans="1:10" ht="55.5">
      <c r="A56" s="6" t="s">
        <v>158</v>
      </c>
      <c r="B56" s="7" t="s">
        <v>159</v>
      </c>
      <c r="C56" s="6" t="s">
        <v>75</v>
      </c>
      <c r="D56" s="6">
        <v>1</v>
      </c>
      <c r="E56" s="8">
        <v>0.4</v>
      </c>
      <c r="F56" s="21">
        <v>2</v>
      </c>
      <c r="G56" s="10">
        <f t="shared" si="16"/>
        <v>2024000</v>
      </c>
      <c r="H56" s="10">
        <f t="shared" si="17"/>
        <v>2024000</v>
      </c>
      <c r="I56" s="10">
        <f t="shared" si="18"/>
        <v>1416800</v>
      </c>
      <c r="J56" s="10">
        <f t="shared" si="19"/>
        <v>607200</v>
      </c>
    </row>
    <row r="57" spans="1:10" ht="69.400000000000006">
      <c r="A57" s="6" t="s">
        <v>160</v>
      </c>
      <c r="B57" s="7" t="s">
        <v>161</v>
      </c>
      <c r="C57" s="6" t="s">
        <v>75</v>
      </c>
      <c r="D57" s="6">
        <v>1</v>
      </c>
      <c r="E57" s="8">
        <v>0.4</v>
      </c>
      <c r="F57" s="21">
        <v>2</v>
      </c>
      <c r="G57" s="10">
        <f t="shared" si="16"/>
        <v>2024000</v>
      </c>
      <c r="H57" s="10">
        <f t="shared" si="17"/>
        <v>2024000</v>
      </c>
      <c r="I57" s="10">
        <f t="shared" si="18"/>
        <v>1416800</v>
      </c>
      <c r="J57" s="10">
        <f t="shared" si="19"/>
        <v>607200</v>
      </c>
    </row>
    <row r="58" spans="1:10" ht="55.5">
      <c r="A58" s="6" t="s">
        <v>162</v>
      </c>
      <c r="B58" s="7" t="s">
        <v>163</v>
      </c>
      <c r="C58" s="6" t="s">
        <v>88</v>
      </c>
      <c r="D58" s="6">
        <v>1</v>
      </c>
      <c r="E58" s="8">
        <v>0.3</v>
      </c>
      <c r="F58" s="21">
        <v>2</v>
      </c>
      <c r="G58" s="10">
        <f t="shared" si="16"/>
        <v>1518000</v>
      </c>
      <c r="H58" s="10">
        <f t="shared" si="17"/>
        <v>1518000</v>
      </c>
      <c r="I58" s="10">
        <f t="shared" si="18"/>
        <v>1062600</v>
      </c>
      <c r="J58" s="10">
        <f t="shared" si="19"/>
        <v>455400</v>
      </c>
    </row>
    <row r="59" spans="1:10" ht="54">
      <c r="A59" s="5" t="s">
        <v>164</v>
      </c>
      <c r="B59" s="19" t="s">
        <v>165</v>
      </c>
      <c r="C59" s="20"/>
      <c r="D59" s="20"/>
      <c r="E59" s="20"/>
      <c r="F59" s="20"/>
      <c r="G59" s="20"/>
      <c r="H59" s="20"/>
      <c r="I59" s="20"/>
      <c r="J59" s="20"/>
    </row>
    <row r="60" spans="1:10" ht="40.5">
      <c r="A60" s="5" t="s">
        <v>166</v>
      </c>
      <c r="B60" s="19"/>
      <c r="C60" s="20"/>
      <c r="D60" s="20"/>
      <c r="E60" s="20"/>
      <c r="F60" s="20"/>
      <c r="G60" s="20"/>
      <c r="H60" s="20"/>
      <c r="I60" s="20"/>
      <c r="J60" s="20"/>
    </row>
    <row r="61" spans="1:10" ht="69.400000000000006">
      <c r="A61" s="6" t="s">
        <v>167</v>
      </c>
      <c r="B61" s="7" t="s">
        <v>168</v>
      </c>
      <c r="C61" s="6" t="s">
        <v>75</v>
      </c>
      <c r="D61" s="6">
        <v>1</v>
      </c>
      <c r="E61" s="8">
        <v>0.4</v>
      </c>
      <c r="F61" s="21">
        <v>2</v>
      </c>
      <c r="G61" s="10">
        <f>D61*E61*F61*2530000</f>
        <v>2024000</v>
      </c>
      <c r="H61" s="10">
        <f>G61</f>
        <v>2024000</v>
      </c>
      <c r="I61" s="10">
        <f>ROUND(G61*0.7, 0)</f>
        <v>1416800</v>
      </c>
      <c r="J61" s="10">
        <f>G61-I61</f>
        <v>607200</v>
      </c>
    </row>
    <row r="62" spans="1:10" ht="83.25">
      <c r="A62" s="6" t="s">
        <v>169</v>
      </c>
      <c r="B62" s="7" t="s">
        <v>170</v>
      </c>
      <c r="C62" s="6" t="s">
        <v>75</v>
      </c>
      <c r="D62" s="6">
        <v>1</v>
      </c>
      <c r="E62" s="8">
        <v>0.4</v>
      </c>
      <c r="F62" s="21">
        <v>2</v>
      </c>
      <c r="G62" s="10">
        <f>D62*E62*F62*2530000</f>
        <v>2024000</v>
      </c>
      <c r="H62" s="10">
        <f>G62</f>
        <v>2024000</v>
      </c>
      <c r="I62" s="10">
        <f>ROUND(G62*0.7, 0)</f>
        <v>1416800</v>
      </c>
      <c r="J62" s="10">
        <f>G62-I62</f>
        <v>607200</v>
      </c>
    </row>
    <row r="63" spans="1:10" ht="27.75">
      <c r="A63" s="6" t="s">
        <v>171</v>
      </c>
      <c r="B63" s="7" t="s">
        <v>172</v>
      </c>
      <c r="C63" s="6" t="s">
        <v>75</v>
      </c>
      <c r="D63" s="6">
        <v>1</v>
      </c>
      <c r="E63" s="8">
        <v>0.4</v>
      </c>
      <c r="F63" s="21">
        <v>2</v>
      </c>
      <c r="G63" s="10">
        <f>D63*E63*F63*2530000</f>
        <v>2024000</v>
      </c>
      <c r="H63" s="10">
        <f>G63</f>
        <v>2024000</v>
      </c>
      <c r="I63" s="10">
        <f>ROUND(G63*0.7, 0)</f>
        <v>1416800</v>
      </c>
      <c r="J63" s="10">
        <f>G63-I63</f>
        <v>607200</v>
      </c>
    </row>
    <row r="64" spans="1:10" ht="41.65">
      <c r="A64" s="6" t="s">
        <v>173</v>
      </c>
      <c r="B64" s="7" t="s">
        <v>174</v>
      </c>
      <c r="C64" s="6" t="s">
        <v>75</v>
      </c>
      <c r="D64" s="6">
        <v>1</v>
      </c>
      <c r="E64" s="8">
        <v>0.4</v>
      </c>
      <c r="F64" s="21">
        <v>2</v>
      </c>
      <c r="G64" s="10">
        <f>D64*E64*F64*2530000</f>
        <v>2024000</v>
      </c>
      <c r="H64" s="10">
        <f>G64</f>
        <v>2024000</v>
      </c>
      <c r="I64" s="10">
        <f>ROUND(G64*0.7, 0)</f>
        <v>1416800</v>
      </c>
      <c r="J64" s="10">
        <f>G64-I64</f>
        <v>607200</v>
      </c>
    </row>
    <row r="65" spans="1:10" ht="40.5">
      <c r="A65" s="5" t="s">
        <v>175</v>
      </c>
      <c r="B65" s="19" t="s">
        <v>176</v>
      </c>
      <c r="C65" s="20"/>
      <c r="D65" s="20"/>
      <c r="E65" s="20"/>
      <c r="F65" s="20"/>
      <c r="G65" s="20"/>
      <c r="H65" s="20"/>
      <c r="I65" s="20"/>
      <c r="J65" s="20"/>
    </row>
    <row r="66" spans="1:10" ht="69.400000000000006">
      <c r="A66" s="6" t="s">
        <v>177</v>
      </c>
      <c r="B66" s="7" t="s">
        <v>178</v>
      </c>
      <c r="C66" s="6" t="s">
        <v>75</v>
      </c>
      <c r="D66" s="6">
        <v>1</v>
      </c>
      <c r="E66" s="8">
        <v>0.4</v>
      </c>
      <c r="F66" s="21">
        <v>2</v>
      </c>
      <c r="G66" s="10">
        <f t="shared" ref="G66:G71" si="20">D66*E66*F66*2530000</f>
        <v>2024000</v>
      </c>
      <c r="H66" s="10">
        <f t="shared" ref="H66:H71" si="21">G66</f>
        <v>2024000</v>
      </c>
      <c r="I66" s="10">
        <f t="shared" ref="I66:I71" si="22">ROUND(G66*0.7, 0)</f>
        <v>1416800</v>
      </c>
      <c r="J66" s="10">
        <f t="shared" ref="J66:J71" si="23">G66-I66</f>
        <v>607200</v>
      </c>
    </row>
    <row r="67" spans="1:10" ht="41.65">
      <c r="A67" s="6" t="s">
        <v>179</v>
      </c>
      <c r="B67" s="7" t="s">
        <v>180</v>
      </c>
      <c r="C67" s="6" t="s">
        <v>75</v>
      </c>
      <c r="D67" s="6">
        <v>1</v>
      </c>
      <c r="E67" s="8">
        <v>0.4</v>
      </c>
      <c r="F67" s="21">
        <v>2</v>
      </c>
      <c r="G67" s="10">
        <f t="shared" si="20"/>
        <v>2024000</v>
      </c>
      <c r="H67" s="10">
        <f t="shared" si="21"/>
        <v>2024000</v>
      </c>
      <c r="I67" s="10">
        <f t="shared" si="22"/>
        <v>1416800</v>
      </c>
      <c r="J67" s="10">
        <f t="shared" si="23"/>
        <v>607200</v>
      </c>
    </row>
    <row r="68" spans="1:10" ht="41.65">
      <c r="A68" s="6" t="s">
        <v>181</v>
      </c>
      <c r="B68" s="7" t="s">
        <v>182</v>
      </c>
      <c r="C68" s="6" t="s">
        <v>59</v>
      </c>
      <c r="D68" s="6">
        <v>1</v>
      </c>
      <c r="E68" s="8">
        <v>0.5</v>
      </c>
      <c r="F68" s="21">
        <v>2</v>
      </c>
      <c r="G68" s="10">
        <f t="shared" si="20"/>
        <v>2530000</v>
      </c>
      <c r="H68" s="10">
        <f t="shared" si="21"/>
        <v>2530000</v>
      </c>
      <c r="I68" s="10">
        <f t="shared" si="22"/>
        <v>1771000</v>
      </c>
      <c r="J68" s="10">
        <f t="shared" si="23"/>
        <v>759000</v>
      </c>
    </row>
    <row r="69" spans="1:10" ht="69.400000000000006">
      <c r="A69" s="6" t="s">
        <v>183</v>
      </c>
      <c r="B69" s="7" t="s">
        <v>184</v>
      </c>
      <c r="C69" s="6" t="s">
        <v>59</v>
      </c>
      <c r="D69" s="6">
        <v>1</v>
      </c>
      <c r="E69" s="8">
        <v>0.5</v>
      </c>
      <c r="F69" s="21">
        <v>2</v>
      </c>
      <c r="G69" s="10">
        <f t="shared" si="20"/>
        <v>2530000</v>
      </c>
      <c r="H69" s="10">
        <f t="shared" si="21"/>
        <v>2530000</v>
      </c>
      <c r="I69" s="10">
        <f t="shared" si="22"/>
        <v>1771000</v>
      </c>
      <c r="J69" s="10">
        <f t="shared" si="23"/>
        <v>759000</v>
      </c>
    </row>
    <row r="70" spans="1:10" ht="27.75">
      <c r="A70" s="6" t="s">
        <v>185</v>
      </c>
      <c r="B70" s="7" t="s">
        <v>186</v>
      </c>
      <c r="C70" s="6" t="s">
        <v>75</v>
      </c>
      <c r="D70" s="6">
        <v>1</v>
      </c>
      <c r="E70" s="8">
        <v>0.4</v>
      </c>
      <c r="F70" s="21">
        <v>2</v>
      </c>
      <c r="G70" s="10">
        <f t="shared" si="20"/>
        <v>2024000</v>
      </c>
      <c r="H70" s="10">
        <f t="shared" si="21"/>
        <v>2024000</v>
      </c>
      <c r="I70" s="10">
        <f t="shared" si="22"/>
        <v>1416800</v>
      </c>
      <c r="J70" s="10">
        <f t="shared" si="23"/>
        <v>607200</v>
      </c>
    </row>
    <row r="71" spans="1:10" ht="55.5">
      <c r="A71" s="6" t="s">
        <v>187</v>
      </c>
      <c r="B71" s="7"/>
      <c r="C71" s="6" t="s">
        <v>88</v>
      </c>
      <c r="D71" s="6">
        <v>1</v>
      </c>
      <c r="E71" s="8">
        <v>0.3</v>
      </c>
      <c r="F71" s="21">
        <v>2</v>
      </c>
      <c r="G71" s="10">
        <f t="shared" si="20"/>
        <v>1518000</v>
      </c>
      <c r="H71" s="10">
        <f t="shared" si="21"/>
        <v>1518000</v>
      </c>
      <c r="I71" s="10">
        <f t="shared" si="22"/>
        <v>1062600</v>
      </c>
      <c r="J71" s="10">
        <f t="shared" si="23"/>
        <v>455400</v>
      </c>
    </row>
    <row r="74" spans="1:10">
      <c r="B74" s="22" t="s">
        <v>188</v>
      </c>
    </row>
    <row r="75" spans="1:10" ht="27">
      <c r="A75" s="5" t="s">
        <v>3</v>
      </c>
      <c r="B75" s="5" t="s">
        <v>189</v>
      </c>
      <c r="C75" s="5" t="s">
        <v>190</v>
      </c>
      <c r="D75" s="5" t="s">
        <v>191</v>
      </c>
      <c r="E75" s="5" t="s">
        <v>192</v>
      </c>
      <c r="F75" s="5" t="s">
        <v>193</v>
      </c>
      <c r="G75" s="5" t="s">
        <v>194</v>
      </c>
      <c r="H75" s="5" t="s">
        <v>51</v>
      </c>
    </row>
    <row r="76" spans="1:10" ht="27.75">
      <c r="A76" s="6">
        <v>1</v>
      </c>
      <c r="B76" s="7" t="s">
        <v>9</v>
      </c>
      <c r="C76" s="7" t="s">
        <v>195</v>
      </c>
      <c r="D76" s="7" t="s">
        <v>10</v>
      </c>
      <c r="E76" s="8">
        <v>0.8</v>
      </c>
      <c r="F76" s="9">
        <v>80.5</v>
      </c>
      <c r="G76" s="6" t="s">
        <v>196</v>
      </c>
      <c r="H76" s="10">
        <v>162932000</v>
      </c>
    </row>
    <row r="77" spans="1:10" ht="27.75">
      <c r="A77" s="6">
        <v>2</v>
      </c>
      <c r="B77" s="7" t="s">
        <v>11</v>
      </c>
      <c r="C77" s="7" t="s">
        <v>195</v>
      </c>
      <c r="D77" s="7" t="s">
        <v>12</v>
      </c>
      <c r="E77" s="8">
        <v>0.5</v>
      </c>
      <c r="F77" s="9">
        <v>84</v>
      </c>
      <c r="G77" s="6" t="s">
        <v>197</v>
      </c>
      <c r="H77" s="10">
        <v>106260000</v>
      </c>
    </row>
    <row r="78" spans="1:10" ht="41.65">
      <c r="A78" s="6">
        <v>3</v>
      </c>
      <c r="B78" s="7" t="s">
        <v>13</v>
      </c>
      <c r="C78" s="7" t="s">
        <v>195</v>
      </c>
      <c r="D78" s="7" t="s">
        <v>198</v>
      </c>
      <c r="E78" s="8">
        <v>0.4</v>
      </c>
      <c r="F78" s="9">
        <v>114.5</v>
      </c>
      <c r="G78" s="6" t="s">
        <v>199</v>
      </c>
      <c r="H78" s="10">
        <v>115874000</v>
      </c>
    </row>
    <row r="79" spans="1:10" ht="41.65">
      <c r="A79" s="6">
        <v>4</v>
      </c>
      <c r="B79" s="7" t="s">
        <v>15</v>
      </c>
      <c r="C79" s="7" t="s">
        <v>195</v>
      </c>
      <c r="D79" s="7" t="s">
        <v>16</v>
      </c>
      <c r="E79" s="8">
        <v>0.4</v>
      </c>
      <c r="F79" s="9">
        <v>112</v>
      </c>
      <c r="G79" s="6" t="s">
        <v>200</v>
      </c>
      <c r="H79" s="10">
        <v>113344000</v>
      </c>
    </row>
    <row r="80" spans="1:10" ht="41.65">
      <c r="A80" s="6">
        <v>5</v>
      </c>
      <c r="B80" s="7" t="s">
        <v>17</v>
      </c>
      <c r="C80" s="7" t="s">
        <v>195</v>
      </c>
      <c r="D80" s="7" t="s">
        <v>18</v>
      </c>
      <c r="E80" s="8">
        <v>0.3</v>
      </c>
      <c r="F80" s="9">
        <v>110</v>
      </c>
      <c r="G80" s="6" t="s">
        <v>201</v>
      </c>
      <c r="H80" s="10">
        <v>83490000</v>
      </c>
    </row>
    <row r="81" spans="1:8" ht="41.65">
      <c r="A81" s="6">
        <v>6</v>
      </c>
      <c r="B81" s="7" t="s">
        <v>19</v>
      </c>
      <c r="C81" s="7" t="s">
        <v>195</v>
      </c>
      <c r="D81" s="7" t="s">
        <v>20</v>
      </c>
      <c r="E81" s="8">
        <v>0.3</v>
      </c>
      <c r="F81" s="9">
        <v>111.5</v>
      </c>
      <c r="G81" s="6" t="s">
        <v>202</v>
      </c>
      <c r="H81" s="10">
        <v>84628500</v>
      </c>
    </row>
    <row r="82" spans="1:8" ht="27">
      <c r="A82" s="11" t="s">
        <v>203</v>
      </c>
      <c r="B82" s="12"/>
      <c r="C82" s="12"/>
      <c r="D82" s="12"/>
      <c r="E82" s="12"/>
      <c r="F82" s="13">
        <f>SUM(F76:F81)</f>
        <v>612.5</v>
      </c>
      <c r="G82" s="11" t="s">
        <v>204</v>
      </c>
      <c r="H82" s="14">
        <f>SUM(H76:H81)</f>
        <v>666528500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/>
  </sheetViews>
  <sheetFormatPr defaultRowHeight="14.25"/>
  <cols>
    <col min="1" max="1" width="8" customWidth="1"/>
    <col min="2" max="2" width="45" customWidth="1"/>
    <col min="3" max="3" width="12" customWidth="1"/>
    <col min="4" max="4" width="10" customWidth="1"/>
    <col min="5" max="5" width="18" customWidth="1"/>
    <col min="6" max="6" width="22" customWidth="1"/>
    <col min="7" max="10" width="18" customWidth="1"/>
  </cols>
  <sheetData>
    <row r="1" spans="1:10" ht="16.5">
      <c r="A1" s="16" t="s">
        <v>205</v>
      </c>
      <c r="J1" s="2" t="s">
        <v>25</v>
      </c>
    </row>
    <row r="3" spans="1:10">
      <c r="A3" s="31" t="s">
        <v>3</v>
      </c>
      <c r="B3" s="31" t="s">
        <v>26</v>
      </c>
      <c r="C3" s="31" t="s">
        <v>206</v>
      </c>
      <c r="D3" s="31" t="s">
        <v>207</v>
      </c>
      <c r="E3" s="31" t="s">
        <v>208</v>
      </c>
      <c r="F3" s="31" t="s">
        <v>209</v>
      </c>
      <c r="G3" s="31" t="s">
        <v>52</v>
      </c>
      <c r="H3" s="35"/>
      <c r="I3" s="35"/>
      <c r="J3" s="36"/>
    </row>
    <row r="4" spans="1:10">
      <c r="A4" s="38"/>
      <c r="B4" s="38"/>
      <c r="C4" s="38"/>
      <c r="D4" s="38"/>
      <c r="E4" s="38"/>
      <c r="F4" s="38"/>
      <c r="G4" s="5" t="s">
        <v>30</v>
      </c>
      <c r="H4" s="5" t="s">
        <v>31</v>
      </c>
      <c r="I4" s="5" t="s">
        <v>53</v>
      </c>
      <c r="J4" s="5" t="s">
        <v>54</v>
      </c>
    </row>
    <row r="5" spans="1:10">
      <c r="A5" s="5" t="s">
        <v>34</v>
      </c>
      <c r="B5" s="19" t="s">
        <v>210</v>
      </c>
      <c r="C5" s="5"/>
      <c r="D5" s="20"/>
      <c r="E5" s="20"/>
      <c r="F5" s="23">
        <f>F6</f>
        <v>3000000</v>
      </c>
      <c r="G5" s="23">
        <f t="shared" ref="G5:H22" si="0">F5</f>
        <v>3000000</v>
      </c>
      <c r="H5" s="23">
        <f t="shared" si="0"/>
        <v>3000000</v>
      </c>
      <c r="I5" s="23">
        <f t="shared" ref="I5:I11" si="1">ROUND(F5*0.7, 0)</f>
        <v>2100000</v>
      </c>
      <c r="J5" s="23">
        <f t="shared" ref="J5:J21" si="2">F5-I5</f>
        <v>900000</v>
      </c>
    </row>
    <row r="6" spans="1:10">
      <c r="A6" s="6"/>
      <c r="B6" s="7" t="s">
        <v>211</v>
      </c>
      <c r="C6" s="6" t="s">
        <v>212</v>
      </c>
      <c r="D6" s="24">
        <v>6</v>
      </c>
      <c r="E6" s="10">
        <v>500000</v>
      </c>
      <c r="F6" s="10">
        <f>D6*E6</f>
        <v>3000000</v>
      </c>
      <c r="G6" s="10">
        <f t="shared" si="0"/>
        <v>3000000</v>
      </c>
      <c r="H6" s="10">
        <f t="shared" si="0"/>
        <v>3000000</v>
      </c>
      <c r="I6" s="10">
        <f t="shared" si="1"/>
        <v>2100000</v>
      </c>
      <c r="J6" s="10">
        <f t="shared" si="2"/>
        <v>900000</v>
      </c>
    </row>
    <row r="7" spans="1:10">
      <c r="A7" s="5" t="s">
        <v>36</v>
      </c>
      <c r="B7" s="19" t="s">
        <v>213</v>
      </c>
      <c r="C7" s="5"/>
      <c r="D7" s="20"/>
      <c r="E7" s="20"/>
      <c r="F7" s="23">
        <f>SUM(F8:F11)</f>
        <v>15000000</v>
      </c>
      <c r="G7" s="23">
        <f t="shared" si="0"/>
        <v>15000000</v>
      </c>
      <c r="H7" s="23">
        <f t="shared" si="0"/>
        <v>15000000</v>
      </c>
      <c r="I7" s="23">
        <f t="shared" si="1"/>
        <v>10500000</v>
      </c>
      <c r="J7" s="23">
        <f t="shared" si="2"/>
        <v>4500000</v>
      </c>
    </row>
    <row r="8" spans="1:10">
      <c r="A8" s="6"/>
      <c r="B8" s="7" t="s">
        <v>214</v>
      </c>
      <c r="C8" s="6" t="s">
        <v>215</v>
      </c>
      <c r="D8" s="24">
        <v>1</v>
      </c>
      <c r="E8" s="10">
        <v>2500000</v>
      </c>
      <c r="F8" s="10">
        <f>D8*E8</f>
        <v>2500000</v>
      </c>
      <c r="G8" s="10">
        <f t="shared" si="0"/>
        <v>2500000</v>
      </c>
      <c r="H8" s="10">
        <f t="shared" si="0"/>
        <v>2500000</v>
      </c>
      <c r="I8" s="10">
        <f t="shared" si="1"/>
        <v>1750000</v>
      </c>
      <c r="J8" s="10">
        <f t="shared" si="2"/>
        <v>750000</v>
      </c>
    </row>
    <row r="9" spans="1:10">
      <c r="A9" s="6"/>
      <c r="B9" s="7" t="s">
        <v>216</v>
      </c>
      <c r="C9" s="6" t="s">
        <v>215</v>
      </c>
      <c r="D9" s="24">
        <v>1</v>
      </c>
      <c r="E9" s="10">
        <v>1500000</v>
      </c>
      <c r="F9" s="10">
        <f>D9*E9</f>
        <v>1500000</v>
      </c>
      <c r="G9" s="10">
        <f t="shared" si="0"/>
        <v>1500000</v>
      </c>
      <c r="H9" s="10">
        <f t="shared" si="0"/>
        <v>1500000</v>
      </c>
      <c r="I9" s="10">
        <f t="shared" si="1"/>
        <v>1050000</v>
      </c>
      <c r="J9" s="10">
        <f t="shared" si="2"/>
        <v>450000</v>
      </c>
    </row>
    <row r="10" spans="1:10">
      <c r="A10" s="6"/>
      <c r="B10" s="7" t="s">
        <v>217</v>
      </c>
      <c r="C10" s="6" t="s">
        <v>218</v>
      </c>
      <c r="D10" s="24">
        <v>2</v>
      </c>
      <c r="E10" s="10">
        <v>3000000</v>
      </c>
      <c r="F10" s="10">
        <f>D10*E10</f>
        <v>6000000</v>
      </c>
      <c r="G10" s="10">
        <f t="shared" si="0"/>
        <v>6000000</v>
      </c>
      <c r="H10" s="10">
        <f t="shared" si="0"/>
        <v>6000000</v>
      </c>
      <c r="I10" s="10">
        <f t="shared" si="1"/>
        <v>4200000</v>
      </c>
      <c r="J10" s="10">
        <f t="shared" si="2"/>
        <v>1800000</v>
      </c>
    </row>
    <row r="11" spans="1:10">
      <c r="A11" s="6"/>
      <c r="B11" s="7" t="s">
        <v>219</v>
      </c>
      <c r="C11" s="6" t="s">
        <v>220</v>
      </c>
      <c r="D11" s="24">
        <v>5</v>
      </c>
      <c r="E11" s="10">
        <v>1000000</v>
      </c>
      <c r="F11" s="10">
        <f>D11*E11</f>
        <v>5000000</v>
      </c>
      <c r="G11" s="10">
        <f t="shared" si="0"/>
        <v>5000000</v>
      </c>
      <c r="H11" s="10">
        <f t="shared" si="0"/>
        <v>5000000</v>
      </c>
      <c r="I11" s="10">
        <f t="shared" si="1"/>
        <v>3500000</v>
      </c>
      <c r="J11" s="10">
        <f t="shared" si="2"/>
        <v>1500000</v>
      </c>
    </row>
    <row r="12" spans="1:10">
      <c r="A12" s="5" t="s">
        <v>38</v>
      </c>
      <c r="B12" s="19" t="s">
        <v>221</v>
      </c>
      <c r="C12" s="5"/>
      <c r="D12" s="20"/>
      <c r="E12" s="20"/>
      <c r="F12" s="23">
        <f>SUM(F13:F17)</f>
        <v>18000000</v>
      </c>
      <c r="G12" s="23">
        <f t="shared" si="0"/>
        <v>18000000</v>
      </c>
      <c r="H12" s="23">
        <f t="shared" si="0"/>
        <v>18000000</v>
      </c>
      <c r="I12" s="23">
        <f t="shared" ref="I12:I17" si="3">ROUND(F12*0, 0)</f>
        <v>0</v>
      </c>
      <c r="J12" s="23">
        <f t="shared" si="2"/>
        <v>18000000</v>
      </c>
    </row>
    <row r="13" spans="1:10">
      <c r="A13" s="6"/>
      <c r="B13" s="7" t="s">
        <v>222</v>
      </c>
      <c r="C13" s="6" t="s">
        <v>220</v>
      </c>
      <c r="D13" s="24">
        <v>1</v>
      </c>
      <c r="E13" s="10">
        <v>3000000</v>
      </c>
      <c r="F13" s="10">
        <f t="shared" ref="F13:F21" si="4">D13*E13</f>
        <v>3000000</v>
      </c>
      <c r="G13" s="10">
        <f t="shared" si="0"/>
        <v>3000000</v>
      </c>
      <c r="H13" s="10">
        <f t="shared" si="0"/>
        <v>3000000</v>
      </c>
      <c r="I13" s="10">
        <f t="shared" si="3"/>
        <v>0</v>
      </c>
      <c r="J13" s="10">
        <f t="shared" si="2"/>
        <v>3000000</v>
      </c>
    </row>
    <row r="14" spans="1:10">
      <c r="A14" s="6"/>
      <c r="B14" s="7" t="s">
        <v>223</v>
      </c>
      <c r="C14" s="6" t="s">
        <v>220</v>
      </c>
      <c r="D14" s="24">
        <v>5</v>
      </c>
      <c r="E14" s="10">
        <v>1500000</v>
      </c>
      <c r="F14" s="10">
        <f t="shared" si="4"/>
        <v>7500000</v>
      </c>
      <c r="G14" s="10">
        <f t="shared" si="0"/>
        <v>7500000</v>
      </c>
      <c r="H14" s="10">
        <f t="shared" si="0"/>
        <v>7500000</v>
      </c>
      <c r="I14" s="10">
        <f t="shared" si="3"/>
        <v>0</v>
      </c>
      <c r="J14" s="10">
        <f t="shared" si="2"/>
        <v>7500000</v>
      </c>
    </row>
    <row r="15" spans="1:10">
      <c r="A15" s="6"/>
      <c r="B15" s="7" t="s">
        <v>224</v>
      </c>
      <c r="C15" s="6" t="s">
        <v>220</v>
      </c>
      <c r="D15" s="24">
        <v>1</v>
      </c>
      <c r="E15" s="10">
        <v>1500000</v>
      </c>
      <c r="F15" s="10">
        <f t="shared" si="4"/>
        <v>1500000</v>
      </c>
      <c r="G15" s="10">
        <f t="shared" si="0"/>
        <v>1500000</v>
      </c>
      <c r="H15" s="10">
        <f t="shared" si="0"/>
        <v>1500000</v>
      </c>
      <c r="I15" s="10">
        <f t="shared" si="3"/>
        <v>0</v>
      </c>
      <c r="J15" s="10">
        <f t="shared" si="2"/>
        <v>1500000</v>
      </c>
    </row>
    <row r="16" spans="1:10">
      <c r="A16" s="6"/>
      <c r="B16" s="7" t="s">
        <v>225</v>
      </c>
      <c r="C16" s="6" t="s">
        <v>220</v>
      </c>
      <c r="D16" s="24">
        <v>4</v>
      </c>
      <c r="E16" s="10">
        <v>500000</v>
      </c>
      <c r="F16" s="10">
        <f t="shared" si="4"/>
        <v>2000000</v>
      </c>
      <c r="G16" s="10">
        <f t="shared" si="0"/>
        <v>2000000</v>
      </c>
      <c r="H16" s="10">
        <f t="shared" si="0"/>
        <v>2000000</v>
      </c>
      <c r="I16" s="10">
        <f t="shared" si="3"/>
        <v>0</v>
      </c>
      <c r="J16" s="10">
        <f t="shared" si="2"/>
        <v>2000000</v>
      </c>
    </row>
    <row r="17" spans="1:10">
      <c r="A17" s="6"/>
      <c r="B17" s="7" t="s">
        <v>226</v>
      </c>
      <c r="C17" s="6" t="s">
        <v>227</v>
      </c>
      <c r="D17" s="24">
        <v>2</v>
      </c>
      <c r="E17" s="10">
        <v>2000000</v>
      </c>
      <c r="F17" s="10">
        <f t="shared" si="4"/>
        <v>4000000</v>
      </c>
      <c r="G17" s="10">
        <f t="shared" si="0"/>
        <v>4000000</v>
      </c>
      <c r="H17" s="10">
        <f t="shared" si="0"/>
        <v>4000000</v>
      </c>
      <c r="I17" s="10">
        <f t="shared" si="3"/>
        <v>0</v>
      </c>
      <c r="J17" s="10">
        <f t="shared" si="2"/>
        <v>4000000</v>
      </c>
    </row>
    <row r="18" spans="1:10">
      <c r="A18" s="6" t="s">
        <v>40</v>
      </c>
      <c r="B18" s="7" t="s">
        <v>228</v>
      </c>
      <c r="C18" s="6" t="s">
        <v>229</v>
      </c>
      <c r="D18" s="24">
        <v>1</v>
      </c>
      <c r="E18" s="10">
        <v>6000000</v>
      </c>
      <c r="F18" s="10">
        <f t="shared" si="4"/>
        <v>6000000</v>
      </c>
      <c r="G18" s="10">
        <f t="shared" si="0"/>
        <v>6000000</v>
      </c>
      <c r="H18" s="10">
        <f t="shared" si="0"/>
        <v>6000000</v>
      </c>
      <c r="I18" s="10">
        <f>ROUND(F18*0.7, 0)</f>
        <v>4200000</v>
      </c>
      <c r="J18" s="10">
        <f t="shared" si="2"/>
        <v>1800000</v>
      </c>
    </row>
    <row r="19" spans="1:10" ht="27.75">
      <c r="A19" s="6" t="s">
        <v>230</v>
      </c>
      <c r="B19" s="7" t="s">
        <v>231</v>
      </c>
      <c r="C19" s="6" t="s">
        <v>212</v>
      </c>
      <c r="D19" s="24">
        <v>6</v>
      </c>
      <c r="E19" s="10">
        <v>2000000</v>
      </c>
      <c r="F19" s="10">
        <f t="shared" si="4"/>
        <v>12000000</v>
      </c>
      <c r="G19" s="10">
        <f t="shared" si="0"/>
        <v>12000000</v>
      </c>
      <c r="H19" s="10">
        <f t="shared" si="0"/>
        <v>12000000</v>
      </c>
      <c r="I19" s="10">
        <f>ROUND(F19*0.7, 0)</f>
        <v>8400000</v>
      </c>
      <c r="J19" s="10">
        <f t="shared" si="2"/>
        <v>3600000</v>
      </c>
    </row>
    <row r="20" spans="1:10">
      <c r="A20" s="6" t="s">
        <v>232</v>
      </c>
      <c r="B20" s="7" t="s">
        <v>233</v>
      </c>
      <c r="C20" s="6" t="s">
        <v>234</v>
      </c>
      <c r="D20" s="24">
        <v>1</v>
      </c>
      <c r="E20" s="10">
        <v>8000000</v>
      </c>
      <c r="F20" s="10">
        <f t="shared" si="4"/>
        <v>8000000</v>
      </c>
      <c r="G20" s="10">
        <f t="shared" si="0"/>
        <v>8000000</v>
      </c>
      <c r="H20" s="10">
        <f t="shared" si="0"/>
        <v>8000000</v>
      </c>
      <c r="I20" s="10">
        <f>ROUND(F20*0.5, 0)</f>
        <v>4000000</v>
      </c>
      <c r="J20" s="10">
        <f t="shared" si="2"/>
        <v>4000000</v>
      </c>
    </row>
    <row r="21" spans="1:10">
      <c r="A21" s="6" t="s">
        <v>235</v>
      </c>
      <c r="B21" s="7" t="s">
        <v>236</v>
      </c>
      <c r="C21" s="6" t="s">
        <v>229</v>
      </c>
      <c r="D21" s="24">
        <v>1</v>
      </c>
      <c r="E21" s="10">
        <v>10000000</v>
      </c>
      <c r="F21" s="10">
        <f t="shared" si="4"/>
        <v>10000000</v>
      </c>
      <c r="G21" s="10">
        <f t="shared" si="0"/>
        <v>10000000</v>
      </c>
      <c r="H21" s="10">
        <f t="shared" si="0"/>
        <v>10000000</v>
      </c>
      <c r="I21" s="10">
        <f>ROUND(F21*0.3, 0)</f>
        <v>3000000</v>
      </c>
      <c r="J21" s="10">
        <f t="shared" si="2"/>
        <v>7000000</v>
      </c>
    </row>
    <row r="22" spans="1:10" ht="27">
      <c r="A22" s="11" t="s">
        <v>21</v>
      </c>
      <c r="B22" s="12"/>
      <c r="C22" s="12"/>
      <c r="D22" s="12"/>
      <c r="E22" s="12"/>
      <c r="F22" s="14">
        <f>F5+F7+F12+F18+F19+F20+F21</f>
        <v>72000000</v>
      </c>
      <c r="G22" s="14">
        <f t="shared" si="0"/>
        <v>72000000</v>
      </c>
      <c r="H22" s="14">
        <f t="shared" si="0"/>
        <v>72000000</v>
      </c>
      <c r="I22" s="14">
        <f>I5+I7+I12+I18+I19+I20+I21</f>
        <v>32200000</v>
      </c>
      <c r="J22" s="14">
        <f>J5+J7+J12+J18+J19+J20+J21</f>
        <v>39800000</v>
      </c>
    </row>
  </sheetData>
  <mergeCells count="7">
    <mergeCell ref="G3:J3"/>
    <mergeCell ref="C3:C4"/>
    <mergeCell ref="B3:B4"/>
    <mergeCell ref="A3:A4"/>
    <mergeCell ref="E3:E4"/>
    <mergeCell ref="F3:F4"/>
    <mergeCell ref="D3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4.25"/>
  <cols>
    <col min="1" max="1" width="8" customWidth="1"/>
    <col min="2" max="2" width="50" customWidth="1"/>
    <col min="3" max="3" width="14" customWidth="1"/>
    <col min="4" max="4" width="12" customWidth="1"/>
    <col min="5" max="5" width="18" customWidth="1"/>
    <col min="6" max="7" width="22" customWidth="1"/>
  </cols>
  <sheetData>
    <row r="1" spans="1:7" ht="16.5">
      <c r="A1" s="16" t="s">
        <v>237</v>
      </c>
      <c r="G1" s="2" t="s">
        <v>25</v>
      </c>
    </row>
    <row r="2" spans="1:7">
      <c r="A2" s="5" t="s">
        <v>3</v>
      </c>
      <c r="B2" s="5" t="s">
        <v>238</v>
      </c>
      <c r="C2" s="5" t="s">
        <v>206</v>
      </c>
      <c r="D2" s="5" t="s">
        <v>207</v>
      </c>
      <c r="E2" s="5" t="s">
        <v>239</v>
      </c>
      <c r="F2" s="5" t="s">
        <v>51</v>
      </c>
      <c r="G2" s="5" t="s">
        <v>240</v>
      </c>
    </row>
    <row r="3" spans="1:7">
      <c r="A3" s="6">
        <v>1</v>
      </c>
      <c r="B3" s="7" t="s">
        <v>241</v>
      </c>
      <c r="C3" s="6" t="s">
        <v>242</v>
      </c>
      <c r="D3" s="24">
        <v>4</v>
      </c>
      <c r="E3" s="10">
        <v>3500000</v>
      </c>
      <c r="F3" s="10">
        <f>D3*E3</f>
        <v>14000000</v>
      </c>
      <c r="G3" s="6" t="s">
        <v>243</v>
      </c>
    </row>
    <row r="4" spans="1:7">
      <c r="A4" s="6">
        <v>2</v>
      </c>
      <c r="B4" s="7" t="s">
        <v>244</v>
      </c>
      <c r="C4" s="6" t="s">
        <v>245</v>
      </c>
      <c r="D4" s="24">
        <v>1</v>
      </c>
      <c r="E4" s="10">
        <v>8000000</v>
      </c>
      <c r="F4" s="10">
        <f>D4*E4</f>
        <v>8000000</v>
      </c>
      <c r="G4" s="6" t="s">
        <v>246</v>
      </c>
    </row>
    <row r="5" spans="1:7" ht="27.75">
      <c r="A5" s="6">
        <v>3</v>
      </c>
      <c r="B5" s="7" t="s">
        <v>247</v>
      </c>
      <c r="C5" s="6" t="s">
        <v>229</v>
      </c>
      <c r="D5" s="24">
        <v>1</v>
      </c>
      <c r="E5" s="10">
        <v>5000000</v>
      </c>
      <c r="F5" s="10">
        <f>D5*E5</f>
        <v>5000000</v>
      </c>
      <c r="G5" s="6" t="s">
        <v>248</v>
      </c>
    </row>
    <row r="6" spans="1:7">
      <c r="A6" s="6">
        <v>4</v>
      </c>
      <c r="B6" s="7" t="s">
        <v>249</v>
      </c>
      <c r="C6" s="6" t="s">
        <v>229</v>
      </c>
      <c r="D6" s="24">
        <v>1</v>
      </c>
      <c r="E6" s="10">
        <v>3000000</v>
      </c>
      <c r="F6" s="10">
        <f>D6*E6</f>
        <v>3000000</v>
      </c>
      <c r="G6" s="6" t="s">
        <v>246</v>
      </c>
    </row>
    <row r="7" spans="1:7" ht="27">
      <c r="A7" s="11" t="s">
        <v>21</v>
      </c>
      <c r="B7" s="12"/>
      <c r="C7" s="12"/>
      <c r="D7" s="12"/>
      <c r="E7" s="12"/>
      <c r="F7" s="14">
        <f>SUM(F3:F6)</f>
        <v>30000000</v>
      </c>
      <c r="G7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defaultRowHeight="14.25"/>
  <cols>
    <col min="1" max="1" width="8" customWidth="1"/>
    <col min="2" max="2" width="50" customWidth="1"/>
    <col min="3" max="3" width="14" customWidth="1"/>
    <col min="4" max="4" width="12" customWidth="1"/>
    <col min="5" max="5" width="18" customWidth="1"/>
    <col min="6" max="6" width="22" customWidth="1"/>
    <col min="7" max="7" width="25" customWidth="1"/>
  </cols>
  <sheetData>
    <row r="1" spans="1:7" ht="16.5">
      <c r="A1" s="16" t="s">
        <v>250</v>
      </c>
      <c r="G1" s="2" t="s">
        <v>25</v>
      </c>
    </row>
    <row r="2" spans="1:7">
      <c r="A2" s="5" t="s">
        <v>3</v>
      </c>
      <c r="B2" s="5" t="s">
        <v>251</v>
      </c>
      <c r="C2" s="5" t="s">
        <v>206</v>
      </c>
      <c r="D2" s="5" t="s">
        <v>207</v>
      </c>
      <c r="E2" s="5" t="s">
        <v>239</v>
      </c>
      <c r="F2" s="5" t="s">
        <v>51</v>
      </c>
      <c r="G2" s="5" t="s">
        <v>240</v>
      </c>
    </row>
    <row r="3" spans="1:7" ht="27.75">
      <c r="A3" s="6">
        <v>1</v>
      </c>
      <c r="B3" s="7" t="s">
        <v>252</v>
      </c>
      <c r="C3" s="6" t="s">
        <v>229</v>
      </c>
      <c r="D3" s="24">
        <v>1</v>
      </c>
      <c r="E3" s="10">
        <v>5000000</v>
      </c>
      <c r="F3" s="10">
        <f t="shared" ref="F3:F8" si="0">D3*E3</f>
        <v>5000000</v>
      </c>
      <c r="G3" s="6" t="s">
        <v>253</v>
      </c>
    </row>
    <row r="4" spans="1:7" ht="27.75">
      <c r="A4" s="6">
        <v>2</v>
      </c>
      <c r="B4" s="7" t="s">
        <v>254</v>
      </c>
      <c r="C4" s="6" t="s">
        <v>229</v>
      </c>
      <c r="D4" s="24">
        <v>1</v>
      </c>
      <c r="E4" s="10">
        <v>35000000</v>
      </c>
      <c r="F4" s="10">
        <f t="shared" si="0"/>
        <v>35000000</v>
      </c>
      <c r="G4" s="6" t="s">
        <v>253</v>
      </c>
    </row>
    <row r="5" spans="1:7">
      <c r="A5" s="6">
        <v>3</v>
      </c>
      <c r="B5" s="7" t="s">
        <v>255</v>
      </c>
      <c r="C5" s="6" t="s">
        <v>229</v>
      </c>
      <c r="D5" s="24">
        <v>2</v>
      </c>
      <c r="E5" s="10">
        <v>30000000</v>
      </c>
      <c r="F5" s="10">
        <f t="shared" si="0"/>
        <v>60000000</v>
      </c>
      <c r="G5" s="6" t="s">
        <v>256</v>
      </c>
    </row>
    <row r="6" spans="1:7" ht="27.75">
      <c r="A6" s="6">
        <v>4</v>
      </c>
      <c r="B6" s="7" t="s">
        <v>257</v>
      </c>
      <c r="C6" s="6" t="s">
        <v>258</v>
      </c>
      <c r="D6" s="24">
        <v>1</v>
      </c>
      <c r="E6" s="10">
        <v>20000000</v>
      </c>
      <c r="F6" s="10">
        <f t="shared" si="0"/>
        <v>20000000</v>
      </c>
      <c r="G6" s="6" t="s">
        <v>256</v>
      </c>
    </row>
    <row r="7" spans="1:7">
      <c r="A7" s="6">
        <v>5</v>
      </c>
      <c r="B7" s="7" t="s">
        <v>259</v>
      </c>
      <c r="C7" s="6" t="s">
        <v>245</v>
      </c>
      <c r="D7" s="24">
        <v>2</v>
      </c>
      <c r="E7" s="10">
        <v>35000000</v>
      </c>
      <c r="F7" s="10">
        <f t="shared" si="0"/>
        <v>70000000</v>
      </c>
      <c r="G7" s="6" t="s">
        <v>260</v>
      </c>
    </row>
    <row r="8" spans="1:7" ht="27.75">
      <c r="A8" s="6">
        <v>6</v>
      </c>
      <c r="B8" s="7" t="s">
        <v>261</v>
      </c>
      <c r="C8" s="6" t="s">
        <v>262</v>
      </c>
      <c r="D8" s="24">
        <v>1</v>
      </c>
      <c r="E8" s="10">
        <v>170000000</v>
      </c>
      <c r="F8" s="10">
        <f t="shared" si="0"/>
        <v>170000000</v>
      </c>
      <c r="G8" s="6" t="s">
        <v>263</v>
      </c>
    </row>
    <row r="9" spans="1:7" ht="27">
      <c r="A9" s="11" t="s">
        <v>21</v>
      </c>
      <c r="B9" s="12"/>
      <c r="C9" s="12"/>
      <c r="D9" s="12"/>
      <c r="E9" s="12"/>
      <c r="F9" s="14">
        <f>SUM(F3:F8)</f>
        <v>360000000</v>
      </c>
      <c r="G9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5"/>
  <sheetViews>
    <sheetView workbookViewId="0">
      <selection activeCell="E8" sqref="E8"/>
    </sheetView>
  </sheetViews>
  <sheetFormatPr defaultRowHeight="14.25"/>
  <cols>
    <col min="1" max="1" width="8" customWidth="1"/>
    <col min="2" max="2" width="35" customWidth="1"/>
    <col min="3" max="3" width="35.28515625" style="26" customWidth="1"/>
    <col min="4" max="10" width="12" style="26" customWidth="1"/>
    <col min="11" max="11" width="26" style="26" customWidth="1"/>
    <col min="12" max="12" width="18" style="26" customWidth="1"/>
  </cols>
  <sheetData>
    <row r="1" spans="1:12">
      <c r="A1" s="22" t="s">
        <v>264</v>
      </c>
    </row>
    <row r="2" spans="1:12" ht="16.5">
      <c r="A2" s="16" t="s">
        <v>265</v>
      </c>
    </row>
    <row r="3" spans="1:12">
      <c r="A3" s="4" t="s">
        <v>266</v>
      </c>
    </row>
    <row r="5" spans="1:12">
      <c r="A5" s="31" t="s">
        <v>267</v>
      </c>
      <c r="B5" s="31" t="s">
        <v>268</v>
      </c>
      <c r="C5" s="31" t="s">
        <v>269</v>
      </c>
      <c r="D5" s="31" t="s">
        <v>206</v>
      </c>
      <c r="E5" s="31" t="s">
        <v>270</v>
      </c>
      <c r="F5" s="33"/>
      <c r="G5" s="33"/>
      <c r="H5" s="34"/>
      <c r="I5" s="31" t="s">
        <v>271</v>
      </c>
      <c r="J5" s="31" t="s">
        <v>272</v>
      </c>
      <c r="K5" s="31" t="s">
        <v>273</v>
      </c>
      <c r="L5" s="31" t="s">
        <v>274</v>
      </c>
    </row>
    <row r="6" spans="1:12">
      <c r="A6" s="38"/>
      <c r="B6" s="38"/>
      <c r="C6" s="32"/>
      <c r="D6" s="32"/>
      <c r="E6" s="5" t="s">
        <v>275</v>
      </c>
      <c r="F6" s="5" t="s">
        <v>276</v>
      </c>
      <c r="G6" s="5" t="s">
        <v>277</v>
      </c>
      <c r="H6" s="5" t="s">
        <v>278</v>
      </c>
      <c r="I6" s="32"/>
      <c r="J6" s="32"/>
      <c r="K6" s="32"/>
      <c r="L6" s="32"/>
    </row>
    <row r="7" spans="1:12" ht="40.5">
      <c r="A7" s="5" t="s">
        <v>55</v>
      </c>
      <c r="B7" s="19" t="s">
        <v>56</v>
      </c>
      <c r="C7" s="5"/>
      <c r="D7" s="27"/>
      <c r="E7" s="27"/>
      <c r="F7" s="27"/>
      <c r="G7" s="27"/>
      <c r="H7" s="27"/>
      <c r="I7" s="27"/>
      <c r="J7" s="27"/>
      <c r="K7" s="27"/>
      <c r="L7" s="27"/>
    </row>
    <row r="8" spans="1:12" ht="55.5">
      <c r="A8" s="6" t="s">
        <v>57</v>
      </c>
      <c r="B8" s="7" t="s">
        <v>58</v>
      </c>
      <c r="C8" s="6" t="s">
        <v>36</v>
      </c>
      <c r="D8" s="6" t="s">
        <v>279</v>
      </c>
      <c r="E8" s="8">
        <v>3</v>
      </c>
      <c r="F8" s="8">
        <v>5</v>
      </c>
      <c r="G8" s="8">
        <v>3.2</v>
      </c>
      <c r="H8" s="28">
        <f t="shared" ref="H8:H13" si="0">ROUND((E8+4*F8+G8)/6, 1)</f>
        <v>4.4000000000000004</v>
      </c>
      <c r="I8" s="28">
        <f t="shared" ref="I8:I13" si="1">ROUND(H8*0.1, 1)</f>
        <v>0.4</v>
      </c>
      <c r="J8" s="28">
        <f t="shared" ref="J8:J13" si="2">ROUND(H8+I8, 1)</f>
        <v>4.8</v>
      </c>
      <c r="K8" s="6" t="s">
        <v>11</v>
      </c>
      <c r="L8" s="6" t="s">
        <v>280</v>
      </c>
    </row>
    <row r="9" spans="1:12" ht="41.65">
      <c r="A9" s="6" t="s">
        <v>60</v>
      </c>
      <c r="B9" s="7" t="s">
        <v>61</v>
      </c>
      <c r="C9" s="6" t="s">
        <v>34</v>
      </c>
      <c r="D9" s="6" t="s">
        <v>279</v>
      </c>
      <c r="E9" s="8">
        <v>2</v>
      </c>
      <c r="F9" s="8">
        <v>3</v>
      </c>
      <c r="G9" s="8">
        <v>2</v>
      </c>
      <c r="H9" s="28">
        <f t="shared" si="0"/>
        <v>2.7</v>
      </c>
      <c r="I9" s="28">
        <f t="shared" si="1"/>
        <v>0.3</v>
      </c>
      <c r="J9" s="28">
        <f t="shared" si="2"/>
        <v>3</v>
      </c>
      <c r="K9" s="6" t="s">
        <v>11</v>
      </c>
      <c r="L9" s="6" t="s">
        <v>34</v>
      </c>
    </row>
    <row r="10" spans="1:12" ht="41.65">
      <c r="A10" s="6" t="s">
        <v>62</v>
      </c>
      <c r="B10" s="7" t="s">
        <v>63</v>
      </c>
      <c r="C10" s="6" t="s">
        <v>34</v>
      </c>
      <c r="D10" s="6" t="s">
        <v>279</v>
      </c>
      <c r="E10" s="8">
        <v>2</v>
      </c>
      <c r="F10" s="8">
        <v>4</v>
      </c>
      <c r="G10" s="8">
        <v>2.2000000000000002</v>
      </c>
      <c r="H10" s="28">
        <f t="shared" si="0"/>
        <v>3.4</v>
      </c>
      <c r="I10" s="28">
        <f t="shared" si="1"/>
        <v>0.3</v>
      </c>
      <c r="J10" s="28">
        <f t="shared" si="2"/>
        <v>3.7</v>
      </c>
      <c r="K10" s="6" t="s">
        <v>11</v>
      </c>
      <c r="L10" s="6" t="s">
        <v>36</v>
      </c>
    </row>
    <row r="11" spans="1:12" ht="55.5">
      <c r="A11" s="6" t="s">
        <v>64</v>
      </c>
      <c r="B11" s="7" t="s">
        <v>65</v>
      </c>
      <c r="C11" s="6" t="s">
        <v>36</v>
      </c>
      <c r="D11" s="6" t="s">
        <v>279</v>
      </c>
      <c r="E11" s="8">
        <v>3</v>
      </c>
      <c r="F11" s="8">
        <v>5</v>
      </c>
      <c r="G11" s="8">
        <v>3.2</v>
      </c>
      <c r="H11" s="28">
        <f t="shared" si="0"/>
        <v>4.4000000000000004</v>
      </c>
      <c r="I11" s="28">
        <f t="shared" si="1"/>
        <v>0.4</v>
      </c>
      <c r="J11" s="28">
        <f t="shared" si="2"/>
        <v>4.8</v>
      </c>
      <c r="K11" s="6" t="s">
        <v>11</v>
      </c>
      <c r="L11" s="6" t="s">
        <v>38</v>
      </c>
    </row>
    <row r="12" spans="1:12" ht="55.5">
      <c r="A12" s="6" t="s">
        <v>66</v>
      </c>
      <c r="B12" s="7" t="s">
        <v>67</v>
      </c>
      <c r="C12" s="6" t="s">
        <v>34</v>
      </c>
      <c r="D12" s="6" t="s">
        <v>279</v>
      </c>
      <c r="E12" s="8">
        <v>1</v>
      </c>
      <c r="F12" s="8">
        <v>2</v>
      </c>
      <c r="G12" s="8">
        <v>1.2</v>
      </c>
      <c r="H12" s="28">
        <f t="shared" si="0"/>
        <v>1.7</v>
      </c>
      <c r="I12" s="28">
        <f t="shared" si="1"/>
        <v>0.2</v>
      </c>
      <c r="J12" s="28">
        <f t="shared" si="2"/>
        <v>1.9</v>
      </c>
      <c r="K12" s="6" t="s">
        <v>9</v>
      </c>
      <c r="L12" s="6" t="s">
        <v>40</v>
      </c>
    </row>
    <row r="13" spans="1:12" ht="69.400000000000006">
      <c r="A13" s="6" t="s">
        <v>69</v>
      </c>
      <c r="B13" s="7" t="s">
        <v>70</v>
      </c>
      <c r="C13" s="6" t="s">
        <v>34</v>
      </c>
      <c r="D13" s="6" t="s">
        <v>279</v>
      </c>
      <c r="E13" s="8">
        <v>2</v>
      </c>
      <c r="F13" s="8">
        <v>3</v>
      </c>
      <c r="G13" s="8">
        <v>2</v>
      </c>
      <c r="H13" s="28">
        <f t="shared" si="0"/>
        <v>2.7</v>
      </c>
      <c r="I13" s="28">
        <f t="shared" si="1"/>
        <v>0.3</v>
      </c>
      <c r="J13" s="28">
        <f t="shared" si="2"/>
        <v>3</v>
      </c>
      <c r="K13" s="6" t="s">
        <v>11</v>
      </c>
      <c r="L13" s="6" t="s">
        <v>230</v>
      </c>
    </row>
    <row r="14" spans="1:12" ht="54">
      <c r="A14" s="5" t="s">
        <v>71</v>
      </c>
      <c r="B14" s="19" t="s">
        <v>72</v>
      </c>
      <c r="C14" s="5"/>
      <c r="D14" s="27"/>
      <c r="E14" s="27"/>
      <c r="F14" s="27"/>
      <c r="G14" s="27"/>
      <c r="H14" s="27"/>
      <c r="I14" s="27"/>
      <c r="J14" s="27"/>
      <c r="K14" s="27"/>
      <c r="L14" s="27"/>
    </row>
    <row r="15" spans="1:12" ht="41.65">
      <c r="A15" s="6" t="s">
        <v>73</v>
      </c>
      <c r="B15" s="7" t="s">
        <v>74</v>
      </c>
      <c r="C15" s="6" t="s">
        <v>34</v>
      </c>
      <c r="D15" s="6" t="s">
        <v>279</v>
      </c>
      <c r="E15" s="8">
        <v>2</v>
      </c>
      <c r="F15" s="8">
        <v>3</v>
      </c>
      <c r="G15" s="8">
        <v>2</v>
      </c>
      <c r="H15" s="28">
        <f>ROUND((E15+4*F15+G15)/6, 1)</f>
        <v>2.7</v>
      </c>
      <c r="I15" s="28">
        <f>ROUND(H15*0.1, 1)</f>
        <v>0.3</v>
      </c>
      <c r="J15" s="28">
        <f>ROUND(H15+I15, 1)</f>
        <v>3</v>
      </c>
      <c r="K15" s="6" t="s">
        <v>13</v>
      </c>
      <c r="L15" s="6" t="s">
        <v>232</v>
      </c>
    </row>
    <row r="16" spans="1:12" ht="41.65">
      <c r="A16" s="6" t="s">
        <v>76</v>
      </c>
      <c r="B16" s="7" t="s">
        <v>77</v>
      </c>
      <c r="C16" s="6" t="s">
        <v>36</v>
      </c>
      <c r="D16" s="6" t="s">
        <v>279</v>
      </c>
      <c r="E16" s="8">
        <v>4</v>
      </c>
      <c r="F16" s="8">
        <v>5</v>
      </c>
      <c r="G16" s="8">
        <v>3.8</v>
      </c>
      <c r="H16" s="28">
        <f>ROUND((E16+4*F16+G16)/6, 1)</f>
        <v>4.5999999999999996</v>
      </c>
      <c r="I16" s="28">
        <f>ROUND(H16*0.1, 1)</f>
        <v>0.5</v>
      </c>
      <c r="J16" s="28">
        <f>ROUND(H16+I16, 1)</f>
        <v>5.0999999999999996</v>
      </c>
      <c r="K16" s="6" t="s">
        <v>13</v>
      </c>
      <c r="L16" s="6" t="s">
        <v>235</v>
      </c>
    </row>
    <row r="17" spans="1:12" ht="54">
      <c r="A17" s="5" t="s">
        <v>78</v>
      </c>
      <c r="B17" s="19"/>
      <c r="C17" s="5"/>
      <c r="D17" s="27"/>
      <c r="E17" s="27"/>
      <c r="F17" s="27"/>
      <c r="G17" s="27"/>
      <c r="H17" s="27"/>
      <c r="I17" s="27"/>
      <c r="J17" s="27"/>
      <c r="K17" s="27"/>
      <c r="L17" s="27"/>
    </row>
    <row r="18" spans="1:12" ht="69.400000000000006">
      <c r="A18" s="6" t="s">
        <v>79</v>
      </c>
      <c r="B18" s="7" t="s">
        <v>80</v>
      </c>
      <c r="C18" s="6" t="s">
        <v>34</v>
      </c>
      <c r="D18" s="6" t="s">
        <v>279</v>
      </c>
      <c r="E18" s="8">
        <v>2</v>
      </c>
      <c r="F18" s="8">
        <v>3</v>
      </c>
      <c r="G18" s="8">
        <v>2</v>
      </c>
      <c r="H18" s="28">
        <f>ROUND((E18+4*F18+G18)/6, 1)</f>
        <v>2.7</v>
      </c>
      <c r="I18" s="28">
        <f>ROUND(H18*0.1, 1)</f>
        <v>0.3</v>
      </c>
      <c r="J18" s="28">
        <f>ROUND(H18+I18, 1)</f>
        <v>3</v>
      </c>
      <c r="K18" s="6" t="s">
        <v>13</v>
      </c>
      <c r="L18" s="6" t="s">
        <v>235</v>
      </c>
    </row>
    <row r="19" spans="1:12" ht="69.400000000000006">
      <c r="A19" s="6" t="s">
        <v>81</v>
      </c>
      <c r="B19" s="7" t="s">
        <v>82</v>
      </c>
      <c r="C19" s="6" t="s">
        <v>36</v>
      </c>
      <c r="D19" s="6" t="s">
        <v>279</v>
      </c>
      <c r="E19" s="8">
        <v>3</v>
      </c>
      <c r="F19" s="8">
        <v>4</v>
      </c>
      <c r="G19" s="8">
        <v>3</v>
      </c>
      <c r="H19" s="28">
        <f>ROUND((E19+4*F19+G19)/6, 1)</f>
        <v>3.7</v>
      </c>
      <c r="I19" s="28">
        <f>ROUND(H19*0.1, 1)</f>
        <v>0.4</v>
      </c>
      <c r="J19" s="28">
        <f>ROUND(H19+I19, 1)</f>
        <v>4.0999999999999996</v>
      </c>
      <c r="K19" s="6" t="s">
        <v>13</v>
      </c>
      <c r="L19" s="6" t="s">
        <v>281</v>
      </c>
    </row>
    <row r="20" spans="1:12" ht="55.5">
      <c r="A20" s="6" t="s">
        <v>83</v>
      </c>
      <c r="B20" s="7" t="s">
        <v>84</v>
      </c>
      <c r="C20" s="6" t="s">
        <v>34</v>
      </c>
      <c r="D20" s="6" t="s">
        <v>279</v>
      </c>
      <c r="E20" s="8">
        <v>2</v>
      </c>
      <c r="F20" s="8">
        <v>3</v>
      </c>
      <c r="G20" s="8">
        <v>2</v>
      </c>
      <c r="H20" s="28">
        <f>ROUND((E20+4*F20+G20)/6, 1)</f>
        <v>2.7</v>
      </c>
      <c r="I20" s="28">
        <f>ROUND(H20*0.1, 1)</f>
        <v>0.3</v>
      </c>
      <c r="J20" s="28">
        <f>ROUND(H20+I20, 1)</f>
        <v>3</v>
      </c>
      <c r="K20" s="6" t="s">
        <v>13</v>
      </c>
      <c r="L20" s="6" t="s">
        <v>282</v>
      </c>
    </row>
    <row r="21" spans="1:12" ht="40.5">
      <c r="A21" s="5" t="s">
        <v>85</v>
      </c>
      <c r="B21" s="19"/>
      <c r="C21" s="5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83.25">
      <c r="A22" s="6" t="s">
        <v>86</v>
      </c>
      <c r="B22" s="7" t="s">
        <v>87</v>
      </c>
      <c r="C22" s="6" t="s">
        <v>34</v>
      </c>
      <c r="D22" s="6" t="s">
        <v>279</v>
      </c>
      <c r="E22" s="8">
        <v>2</v>
      </c>
      <c r="F22" s="8">
        <v>3</v>
      </c>
      <c r="G22" s="8">
        <v>2</v>
      </c>
      <c r="H22" s="28">
        <f t="shared" ref="H22:H28" si="3">ROUND((E22+4*F22+G22)/6, 1)</f>
        <v>2.7</v>
      </c>
      <c r="I22" s="28">
        <f t="shared" ref="I22:I28" si="4">ROUND(H22*0.1, 1)</f>
        <v>0.3</v>
      </c>
      <c r="J22" s="28">
        <f t="shared" ref="J22:J28" si="5">ROUND(H22+I22, 1)</f>
        <v>3</v>
      </c>
      <c r="K22" s="6" t="s">
        <v>17</v>
      </c>
      <c r="L22" s="6" t="s">
        <v>283</v>
      </c>
    </row>
    <row r="23" spans="1:12" ht="69.400000000000006">
      <c r="A23" s="6" t="s">
        <v>89</v>
      </c>
      <c r="B23" s="7" t="s">
        <v>90</v>
      </c>
      <c r="C23" s="6" t="s">
        <v>34</v>
      </c>
      <c r="D23" s="6" t="s">
        <v>279</v>
      </c>
      <c r="E23" s="8">
        <v>2</v>
      </c>
      <c r="F23" s="8">
        <v>3</v>
      </c>
      <c r="G23" s="8">
        <v>2</v>
      </c>
      <c r="H23" s="28">
        <f t="shared" si="3"/>
        <v>2.7</v>
      </c>
      <c r="I23" s="28">
        <f t="shared" si="4"/>
        <v>0.3</v>
      </c>
      <c r="J23" s="28">
        <f t="shared" si="5"/>
        <v>3</v>
      </c>
      <c r="K23" s="6" t="s">
        <v>17</v>
      </c>
      <c r="L23" s="6" t="s">
        <v>283</v>
      </c>
    </row>
    <row r="24" spans="1:12" ht="83.25">
      <c r="A24" s="6" t="s">
        <v>91</v>
      </c>
      <c r="B24" s="7" t="s">
        <v>92</v>
      </c>
      <c r="C24" s="6" t="s">
        <v>36</v>
      </c>
      <c r="D24" s="6" t="s">
        <v>279</v>
      </c>
      <c r="E24" s="8">
        <v>4</v>
      </c>
      <c r="F24" s="8">
        <v>5</v>
      </c>
      <c r="G24" s="8">
        <v>3.8</v>
      </c>
      <c r="H24" s="28">
        <f t="shared" si="3"/>
        <v>4.5999999999999996</v>
      </c>
      <c r="I24" s="28">
        <f t="shared" si="4"/>
        <v>0.5</v>
      </c>
      <c r="J24" s="28">
        <f t="shared" si="5"/>
        <v>5.0999999999999996</v>
      </c>
      <c r="K24" s="6" t="s">
        <v>17</v>
      </c>
      <c r="L24" s="6" t="s">
        <v>283</v>
      </c>
    </row>
    <row r="25" spans="1:12" ht="83.25">
      <c r="A25" s="6" t="s">
        <v>93</v>
      </c>
      <c r="B25" s="7" t="s">
        <v>94</v>
      </c>
      <c r="C25" s="6" t="s">
        <v>36</v>
      </c>
      <c r="D25" s="6" t="s">
        <v>279</v>
      </c>
      <c r="E25" s="8">
        <v>3</v>
      </c>
      <c r="F25" s="8">
        <v>4</v>
      </c>
      <c r="G25" s="8">
        <v>3</v>
      </c>
      <c r="H25" s="28">
        <f t="shared" si="3"/>
        <v>3.7</v>
      </c>
      <c r="I25" s="28">
        <f t="shared" si="4"/>
        <v>0.4</v>
      </c>
      <c r="J25" s="28">
        <f t="shared" si="5"/>
        <v>4.0999999999999996</v>
      </c>
      <c r="K25" s="6" t="s">
        <v>9</v>
      </c>
      <c r="L25" s="6" t="s">
        <v>283</v>
      </c>
    </row>
    <row r="26" spans="1:12" ht="55.5">
      <c r="A26" s="6" t="s">
        <v>95</v>
      </c>
      <c r="B26" s="7" t="s">
        <v>96</v>
      </c>
      <c r="C26" s="6" t="s">
        <v>34</v>
      </c>
      <c r="D26" s="6" t="s">
        <v>279</v>
      </c>
      <c r="E26" s="8">
        <v>2</v>
      </c>
      <c r="F26" s="8">
        <v>3</v>
      </c>
      <c r="G26" s="8">
        <v>2</v>
      </c>
      <c r="H26" s="28">
        <f t="shared" si="3"/>
        <v>2.7</v>
      </c>
      <c r="I26" s="28">
        <f t="shared" si="4"/>
        <v>0.3</v>
      </c>
      <c r="J26" s="28">
        <f t="shared" si="5"/>
        <v>3</v>
      </c>
      <c r="K26" s="6" t="s">
        <v>9</v>
      </c>
      <c r="L26" s="6" t="s">
        <v>283</v>
      </c>
    </row>
    <row r="27" spans="1:12" ht="55.5">
      <c r="A27" s="6" t="s">
        <v>97</v>
      </c>
      <c r="B27" s="7" t="s">
        <v>98</v>
      </c>
      <c r="C27" s="6" t="s">
        <v>36</v>
      </c>
      <c r="D27" s="6" t="s">
        <v>279</v>
      </c>
      <c r="E27" s="8">
        <v>3</v>
      </c>
      <c r="F27" s="8">
        <v>4</v>
      </c>
      <c r="G27" s="8">
        <v>3</v>
      </c>
      <c r="H27" s="28">
        <f t="shared" si="3"/>
        <v>3.7</v>
      </c>
      <c r="I27" s="28">
        <f t="shared" si="4"/>
        <v>0.4</v>
      </c>
      <c r="J27" s="28">
        <f t="shared" si="5"/>
        <v>4.0999999999999996</v>
      </c>
      <c r="K27" s="6" t="s">
        <v>9</v>
      </c>
      <c r="L27" s="6" t="s">
        <v>283</v>
      </c>
    </row>
    <row r="28" spans="1:12" ht="41.65">
      <c r="A28" s="6" t="s">
        <v>99</v>
      </c>
      <c r="B28" s="7" t="s">
        <v>100</v>
      </c>
      <c r="C28" s="6" t="s">
        <v>36</v>
      </c>
      <c r="D28" s="6" t="s">
        <v>279</v>
      </c>
      <c r="E28" s="8">
        <v>3</v>
      </c>
      <c r="F28" s="8">
        <v>5</v>
      </c>
      <c r="G28" s="8">
        <v>3.2</v>
      </c>
      <c r="H28" s="28">
        <f t="shared" si="3"/>
        <v>4.4000000000000004</v>
      </c>
      <c r="I28" s="28">
        <f t="shared" si="4"/>
        <v>0.4</v>
      </c>
      <c r="J28" s="28">
        <f t="shared" si="5"/>
        <v>4.8</v>
      </c>
      <c r="K28" s="6" t="s">
        <v>9</v>
      </c>
      <c r="L28" s="6" t="s">
        <v>284</v>
      </c>
    </row>
    <row r="29" spans="1:12" ht="54">
      <c r="A29" s="5" t="s">
        <v>101</v>
      </c>
      <c r="B29" s="19"/>
      <c r="C29" s="5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55.5">
      <c r="A30" s="6" t="s">
        <v>102</v>
      </c>
      <c r="B30" s="7" t="s">
        <v>103</v>
      </c>
      <c r="C30" s="6" t="s">
        <v>34</v>
      </c>
      <c r="D30" s="6" t="s">
        <v>279</v>
      </c>
      <c r="E30" s="8">
        <v>2</v>
      </c>
      <c r="F30" s="8">
        <v>3</v>
      </c>
      <c r="G30" s="8">
        <v>2</v>
      </c>
      <c r="H30" s="28">
        <f t="shared" ref="H30:H35" si="6">ROUND((E30+4*F30+G30)/6, 1)</f>
        <v>2.7</v>
      </c>
      <c r="I30" s="28">
        <f t="shared" ref="I30:I35" si="7">ROUND(H30*0.1, 1)</f>
        <v>0.3</v>
      </c>
      <c r="J30" s="28">
        <f t="shared" ref="J30:J35" si="8">ROUND(H30+I30, 1)</f>
        <v>3</v>
      </c>
      <c r="K30" s="6" t="s">
        <v>17</v>
      </c>
      <c r="L30" s="6" t="s">
        <v>285</v>
      </c>
    </row>
    <row r="31" spans="1:12" ht="69.400000000000006">
      <c r="A31" s="6" t="s">
        <v>104</v>
      </c>
      <c r="B31" s="7" t="s">
        <v>105</v>
      </c>
      <c r="C31" s="6" t="s">
        <v>34</v>
      </c>
      <c r="D31" s="6" t="s">
        <v>279</v>
      </c>
      <c r="E31" s="8">
        <v>2</v>
      </c>
      <c r="F31" s="8">
        <v>3</v>
      </c>
      <c r="G31" s="8">
        <v>2</v>
      </c>
      <c r="H31" s="28">
        <f t="shared" si="6"/>
        <v>2.7</v>
      </c>
      <c r="I31" s="28">
        <f t="shared" si="7"/>
        <v>0.3</v>
      </c>
      <c r="J31" s="28">
        <f t="shared" si="8"/>
        <v>3</v>
      </c>
      <c r="K31" s="6" t="s">
        <v>17</v>
      </c>
      <c r="L31" s="6" t="s">
        <v>286</v>
      </c>
    </row>
    <row r="32" spans="1:12" ht="69.400000000000006">
      <c r="A32" s="6" t="s">
        <v>106</v>
      </c>
      <c r="B32" s="7" t="s">
        <v>107</v>
      </c>
      <c r="C32" s="6" t="s">
        <v>36</v>
      </c>
      <c r="D32" s="6" t="s">
        <v>279</v>
      </c>
      <c r="E32" s="8">
        <v>3</v>
      </c>
      <c r="F32" s="8">
        <v>5</v>
      </c>
      <c r="G32" s="8">
        <v>3.2</v>
      </c>
      <c r="H32" s="28">
        <f t="shared" si="6"/>
        <v>4.4000000000000004</v>
      </c>
      <c r="I32" s="28">
        <f t="shared" si="7"/>
        <v>0.4</v>
      </c>
      <c r="J32" s="28">
        <f t="shared" si="8"/>
        <v>4.8</v>
      </c>
      <c r="K32" s="6" t="s">
        <v>17</v>
      </c>
      <c r="L32" s="6" t="s">
        <v>287</v>
      </c>
    </row>
    <row r="33" spans="1:12" ht="69.400000000000006">
      <c r="A33" s="6" t="s">
        <v>108</v>
      </c>
      <c r="B33" s="7" t="s">
        <v>109</v>
      </c>
      <c r="C33" s="6" t="s">
        <v>36</v>
      </c>
      <c r="D33" s="6" t="s">
        <v>279</v>
      </c>
      <c r="E33" s="8">
        <v>3</v>
      </c>
      <c r="F33" s="8">
        <v>4</v>
      </c>
      <c r="G33" s="8">
        <v>3</v>
      </c>
      <c r="H33" s="28">
        <f t="shared" si="6"/>
        <v>3.7</v>
      </c>
      <c r="I33" s="28">
        <f t="shared" si="7"/>
        <v>0.4</v>
      </c>
      <c r="J33" s="28">
        <f t="shared" si="8"/>
        <v>4.0999999999999996</v>
      </c>
      <c r="K33" s="6" t="s">
        <v>17</v>
      </c>
      <c r="L33" s="6" t="s">
        <v>288</v>
      </c>
    </row>
    <row r="34" spans="1:12" ht="41.65">
      <c r="A34" s="6" t="s">
        <v>110</v>
      </c>
      <c r="B34" s="7" t="s">
        <v>111</v>
      </c>
      <c r="C34" s="6" t="s">
        <v>34</v>
      </c>
      <c r="D34" s="6" t="s">
        <v>279</v>
      </c>
      <c r="E34" s="8">
        <v>2</v>
      </c>
      <c r="F34" s="8">
        <v>3</v>
      </c>
      <c r="G34" s="8">
        <v>2</v>
      </c>
      <c r="H34" s="28">
        <f t="shared" si="6"/>
        <v>2.7</v>
      </c>
      <c r="I34" s="28">
        <f t="shared" si="7"/>
        <v>0.3</v>
      </c>
      <c r="J34" s="28">
        <f t="shared" si="8"/>
        <v>3</v>
      </c>
      <c r="K34" s="6" t="s">
        <v>9</v>
      </c>
      <c r="L34" s="6" t="s">
        <v>289</v>
      </c>
    </row>
    <row r="35" spans="1:12" ht="55.5">
      <c r="A35" s="6" t="s">
        <v>112</v>
      </c>
      <c r="B35" s="7" t="s">
        <v>113</v>
      </c>
      <c r="C35" s="6" t="s">
        <v>34</v>
      </c>
      <c r="D35" s="6" t="s">
        <v>279</v>
      </c>
      <c r="E35" s="8">
        <v>2</v>
      </c>
      <c r="F35" s="8">
        <v>3</v>
      </c>
      <c r="G35" s="8">
        <v>2</v>
      </c>
      <c r="H35" s="28">
        <f t="shared" si="6"/>
        <v>2.7</v>
      </c>
      <c r="I35" s="28">
        <f t="shared" si="7"/>
        <v>0.3</v>
      </c>
      <c r="J35" s="28">
        <f t="shared" si="8"/>
        <v>3</v>
      </c>
      <c r="K35" s="6" t="s">
        <v>9</v>
      </c>
      <c r="L35" s="6" t="s">
        <v>290</v>
      </c>
    </row>
    <row r="36" spans="1:12" ht="54">
      <c r="A36" s="5" t="s">
        <v>114</v>
      </c>
      <c r="B36" s="19"/>
      <c r="C36" s="5"/>
      <c r="D36" s="27"/>
      <c r="E36" s="27"/>
      <c r="F36" s="27"/>
      <c r="G36" s="27"/>
      <c r="H36" s="27"/>
      <c r="I36" s="27"/>
      <c r="J36" s="27"/>
      <c r="K36" s="27"/>
      <c r="L36" s="27"/>
    </row>
    <row r="37" spans="1:12" ht="69.400000000000006">
      <c r="A37" s="6" t="s">
        <v>115</v>
      </c>
      <c r="B37" s="7" t="s">
        <v>116</v>
      </c>
      <c r="C37" s="6" t="s">
        <v>34</v>
      </c>
      <c r="D37" s="6" t="s">
        <v>279</v>
      </c>
      <c r="E37" s="8">
        <v>2</v>
      </c>
      <c r="F37" s="8">
        <v>2</v>
      </c>
      <c r="G37" s="8">
        <v>1.8</v>
      </c>
      <c r="H37" s="28">
        <f t="shared" ref="H37:H42" si="9">ROUND((E37+4*F37+G37)/6, 1)</f>
        <v>2</v>
      </c>
      <c r="I37" s="28">
        <f t="shared" ref="I37:I42" si="10">ROUND(H37*0.1, 1)</f>
        <v>0.2</v>
      </c>
      <c r="J37" s="28">
        <f t="shared" ref="J37:J42" si="11">ROUND(H37+I37, 1)</f>
        <v>2.2000000000000002</v>
      </c>
      <c r="K37" s="6" t="s">
        <v>17</v>
      </c>
      <c r="L37" s="6" t="s">
        <v>291</v>
      </c>
    </row>
    <row r="38" spans="1:12" ht="69.400000000000006">
      <c r="A38" s="6" t="s">
        <v>117</v>
      </c>
      <c r="B38" s="7" t="s">
        <v>118</v>
      </c>
      <c r="C38" s="6" t="s">
        <v>34</v>
      </c>
      <c r="D38" s="6" t="s">
        <v>279</v>
      </c>
      <c r="E38" s="8">
        <v>2</v>
      </c>
      <c r="F38" s="8">
        <v>3</v>
      </c>
      <c r="G38" s="8">
        <v>2</v>
      </c>
      <c r="H38" s="28">
        <f t="shared" si="9"/>
        <v>2.7</v>
      </c>
      <c r="I38" s="28">
        <f t="shared" si="10"/>
        <v>0.3</v>
      </c>
      <c r="J38" s="28">
        <f t="shared" si="11"/>
        <v>3</v>
      </c>
      <c r="K38" s="6" t="s">
        <v>17</v>
      </c>
      <c r="L38" s="6" t="s">
        <v>292</v>
      </c>
    </row>
    <row r="39" spans="1:12" ht="83.25">
      <c r="A39" s="6" t="s">
        <v>119</v>
      </c>
      <c r="B39" s="7" t="s">
        <v>120</v>
      </c>
      <c r="C39" s="6" t="s">
        <v>36</v>
      </c>
      <c r="D39" s="6" t="s">
        <v>279</v>
      </c>
      <c r="E39" s="8">
        <v>3</v>
      </c>
      <c r="F39" s="8">
        <v>4</v>
      </c>
      <c r="G39" s="8">
        <v>3</v>
      </c>
      <c r="H39" s="28">
        <f t="shared" si="9"/>
        <v>3.7</v>
      </c>
      <c r="I39" s="28">
        <f t="shared" si="10"/>
        <v>0.4</v>
      </c>
      <c r="J39" s="28">
        <f t="shared" si="11"/>
        <v>4.0999999999999996</v>
      </c>
      <c r="K39" s="6" t="s">
        <v>17</v>
      </c>
      <c r="L39" s="6" t="s">
        <v>293</v>
      </c>
    </row>
    <row r="40" spans="1:12" ht="69.400000000000006">
      <c r="A40" s="6" t="s">
        <v>121</v>
      </c>
      <c r="B40" s="7" t="s">
        <v>122</v>
      </c>
      <c r="C40" s="6" t="s">
        <v>36</v>
      </c>
      <c r="D40" s="6" t="s">
        <v>279</v>
      </c>
      <c r="E40" s="8">
        <v>3</v>
      </c>
      <c r="F40" s="8">
        <v>4</v>
      </c>
      <c r="G40" s="8">
        <v>3</v>
      </c>
      <c r="H40" s="28">
        <f t="shared" si="9"/>
        <v>3.7</v>
      </c>
      <c r="I40" s="28">
        <f t="shared" si="10"/>
        <v>0.4</v>
      </c>
      <c r="J40" s="28">
        <f t="shared" si="11"/>
        <v>4.0999999999999996</v>
      </c>
      <c r="K40" s="6" t="s">
        <v>17</v>
      </c>
      <c r="L40" s="6" t="s">
        <v>294</v>
      </c>
    </row>
    <row r="41" spans="1:12" ht="69.400000000000006">
      <c r="A41" s="6" t="s">
        <v>123</v>
      </c>
      <c r="B41" s="7" t="s">
        <v>124</v>
      </c>
      <c r="C41" s="6" t="s">
        <v>34</v>
      </c>
      <c r="D41" s="6" t="s">
        <v>279</v>
      </c>
      <c r="E41" s="8">
        <v>2</v>
      </c>
      <c r="F41" s="8">
        <v>2</v>
      </c>
      <c r="G41" s="8">
        <v>1.8</v>
      </c>
      <c r="H41" s="28">
        <f t="shared" si="9"/>
        <v>2</v>
      </c>
      <c r="I41" s="28">
        <f t="shared" si="10"/>
        <v>0.2</v>
      </c>
      <c r="J41" s="28">
        <f t="shared" si="11"/>
        <v>2.2000000000000002</v>
      </c>
      <c r="K41" s="6" t="s">
        <v>9</v>
      </c>
      <c r="L41" s="6" t="s">
        <v>295</v>
      </c>
    </row>
    <row r="42" spans="1:12" ht="69.400000000000006">
      <c r="A42" s="6" t="s">
        <v>125</v>
      </c>
      <c r="B42" s="7" t="s">
        <v>126</v>
      </c>
      <c r="C42" s="6" t="s">
        <v>34</v>
      </c>
      <c r="D42" s="6" t="s">
        <v>279</v>
      </c>
      <c r="E42" s="8">
        <v>2</v>
      </c>
      <c r="F42" s="8">
        <v>3</v>
      </c>
      <c r="G42" s="8">
        <v>2</v>
      </c>
      <c r="H42" s="28">
        <f t="shared" si="9"/>
        <v>2.7</v>
      </c>
      <c r="I42" s="28">
        <f t="shared" si="10"/>
        <v>0.3</v>
      </c>
      <c r="J42" s="28">
        <f t="shared" si="11"/>
        <v>3</v>
      </c>
      <c r="K42" s="6" t="s">
        <v>9</v>
      </c>
      <c r="L42" s="6" t="s">
        <v>296</v>
      </c>
    </row>
    <row r="43" spans="1:12" ht="40.5">
      <c r="A43" s="5" t="s">
        <v>127</v>
      </c>
      <c r="B43" s="19" t="s">
        <v>128</v>
      </c>
      <c r="C43" s="5"/>
      <c r="D43" s="27"/>
      <c r="E43" s="27"/>
      <c r="F43" s="27"/>
      <c r="G43" s="27"/>
      <c r="H43" s="27"/>
      <c r="I43" s="27"/>
      <c r="J43" s="27"/>
      <c r="K43" s="27"/>
      <c r="L43" s="27"/>
    </row>
    <row r="44" spans="1:12" ht="69.400000000000006">
      <c r="A44" s="6" t="s">
        <v>129</v>
      </c>
      <c r="B44" s="7" t="s">
        <v>130</v>
      </c>
      <c r="C44" s="6" t="s">
        <v>36</v>
      </c>
      <c r="D44" s="6" t="s">
        <v>279</v>
      </c>
      <c r="E44" s="8">
        <v>4</v>
      </c>
      <c r="F44" s="8">
        <v>5</v>
      </c>
      <c r="G44" s="8">
        <v>3.8</v>
      </c>
      <c r="H44" s="28">
        <f>ROUND((E44+4*F44+G44)/6, 1)</f>
        <v>4.5999999999999996</v>
      </c>
      <c r="I44" s="28">
        <f>ROUND(H44*0.1, 1)</f>
        <v>0.5</v>
      </c>
      <c r="J44" s="28">
        <f>ROUND(H44+I44, 1)</f>
        <v>5.0999999999999996</v>
      </c>
      <c r="K44" s="6" t="s">
        <v>15</v>
      </c>
      <c r="L44" s="6" t="s">
        <v>297</v>
      </c>
    </row>
    <row r="45" spans="1:12" ht="55.5">
      <c r="A45" s="6" t="s">
        <v>131</v>
      </c>
      <c r="B45" s="7" t="s">
        <v>132</v>
      </c>
      <c r="C45" s="6" t="s">
        <v>36</v>
      </c>
      <c r="D45" s="6" t="s">
        <v>279</v>
      </c>
      <c r="E45" s="8">
        <v>3</v>
      </c>
      <c r="F45" s="8">
        <v>4</v>
      </c>
      <c r="G45" s="8">
        <v>3</v>
      </c>
      <c r="H45" s="28">
        <f>ROUND((E45+4*F45+G45)/6, 1)</f>
        <v>3.7</v>
      </c>
      <c r="I45" s="28">
        <f>ROUND(H45*0.1, 1)</f>
        <v>0.4</v>
      </c>
      <c r="J45" s="28">
        <f>ROUND(H45+I45, 1)</f>
        <v>4.0999999999999996</v>
      </c>
      <c r="K45" s="6" t="s">
        <v>15</v>
      </c>
      <c r="L45" s="6" t="s">
        <v>298</v>
      </c>
    </row>
    <row r="46" spans="1:12" ht="69.400000000000006">
      <c r="A46" s="6" t="s">
        <v>133</v>
      </c>
      <c r="B46" s="7" t="s">
        <v>134</v>
      </c>
      <c r="C46" s="6" t="s">
        <v>34</v>
      </c>
      <c r="D46" s="6" t="s">
        <v>279</v>
      </c>
      <c r="E46" s="8">
        <v>1</v>
      </c>
      <c r="F46" s="8">
        <v>2</v>
      </c>
      <c r="G46" s="8">
        <v>1.2</v>
      </c>
      <c r="H46" s="28">
        <f>ROUND((E46+4*F46+G46)/6, 1)</f>
        <v>1.7</v>
      </c>
      <c r="I46" s="28">
        <f>ROUND(H46*0.1, 1)</f>
        <v>0.2</v>
      </c>
      <c r="J46" s="28">
        <f>ROUND(H46+I46, 1)</f>
        <v>1.9</v>
      </c>
      <c r="K46" s="6" t="s">
        <v>299</v>
      </c>
      <c r="L46" s="6" t="s">
        <v>300</v>
      </c>
    </row>
    <row r="47" spans="1:12" ht="41.65">
      <c r="A47" s="6" t="s">
        <v>135</v>
      </c>
      <c r="B47" s="7" t="s">
        <v>136</v>
      </c>
      <c r="C47" s="6" t="s">
        <v>34</v>
      </c>
      <c r="D47" s="6" t="s">
        <v>279</v>
      </c>
      <c r="E47" s="8">
        <v>2</v>
      </c>
      <c r="F47" s="8">
        <v>3</v>
      </c>
      <c r="G47" s="8">
        <v>2</v>
      </c>
      <c r="H47" s="28">
        <f>ROUND((E47+4*F47+G47)/6, 1)</f>
        <v>2.7</v>
      </c>
      <c r="I47" s="28">
        <f>ROUND(H47*0.1, 1)</f>
        <v>0.3</v>
      </c>
      <c r="J47" s="28">
        <f>ROUND(H47+I47, 1)</f>
        <v>3</v>
      </c>
      <c r="K47" s="6" t="s">
        <v>15</v>
      </c>
      <c r="L47" s="6" t="s">
        <v>301</v>
      </c>
    </row>
    <row r="48" spans="1:12" ht="54">
      <c r="A48" s="5" t="s">
        <v>137</v>
      </c>
      <c r="B48" s="19" t="s">
        <v>138</v>
      </c>
      <c r="C48" s="5"/>
      <c r="D48" s="27"/>
      <c r="E48" s="27"/>
      <c r="F48" s="27"/>
      <c r="G48" s="27"/>
      <c r="H48" s="27"/>
      <c r="I48" s="27"/>
      <c r="J48" s="27"/>
      <c r="K48" s="27"/>
      <c r="L48" s="27"/>
    </row>
    <row r="49" spans="1:12" ht="41.65">
      <c r="A49" s="6" t="s">
        <v>139</v>
      </c>
      <c r="B49" s="7" t="s">
        <v>140</v>
      </c>
      <c r="C49" s="6" t="s">
        <v>36</v>
      </c>
      <c r="D49" s="6" t="s">
        <v>279</v>
      </c>
      <c r="E49" s="8">
        <v>3</v>
      </c>
      <c r="F49" s="8">
        <v>5</v>
      </c>
      <c r="G49" s="8">
        <v>3.2</v>
      </c>
      <c r="H49" s="28">
        <f>ROUND((E49+4*F49+G49)/6, 1)</f>
        <v>4.4000000000000004</v>
      </c>
      <c r="I49" s="28">
        <f>ROUND(H49*0.1, 1)</f>
        <v>0.4</v>
      </c>
      <c r="J49" s="28">
        <f>ROUND(H49+I49, 1)</f>
        <v>4.8</v>
      </c>
      <c r="K49" s="6" t="s">
        <v>11</v>
      </c>
      <c r="L49" s="6" t="s">
        <v>302</v>
      </c>
    </row>
    <row r="50" spans="1:12" ht="69.400000000000006">
      <c r="A50" s="6" t="s">
        <v>141</v>
      </c>
      <c r="B50" s="7" t="s">
        <v>142</v>
      </c>
      <c r="C50" s="6" t="s">
        <v>36</v>
      </c>
      <c r="D50" s="6" t="s">
        <v>279</v>
      </c>
      <c r="E50" s="8">
        <v>3</v>
      </c>
      <c r="F50" s="8">
        <v>4</v>
      </c>
      <c r="G50" s="8">
        <v>3</v>
      </c>
      <c r="H50" s="28">
        <f>ROUND((E50+4*F50+G50)/6, 1)</f>
        <v>3.7</v>
      </c>
      <c r="I50" s="28">
        <f>ROUND(H50*0.1, 1)</f>
        <v>0.4</v>
      </c>
      <c r="J50" s="28">
        <f>ROUND(H50+I50, 1)</f>
        <v>4.0999999999999996</v>
      </c>
      <c r="K50" s="6" t="s">
        <v>19</v>
      </c>
      <c r="L50" s="6" t="s">
        <v>303</v>
      </c>
    </row>
    <row r="51" spans="1:12" ht="97.15">
      <c r="A51" s="6" t="s">
        <v>143</v>
      </c>
      <c r="B51" s="7" t="s">
        <v>144</v>
      </c>
      <c r="C51" s="6" t="s">
        <v>36</v>
      </c>
      <c r="D51" s="6" t="s">
        <v>279</v>
      </c>
      <c r="E51" s="8">
        <v>4</v>
      </c>
      <c r="F51" s="8">
        <v>5</v>
      </c>
      <c r="G51" s="8">
        <v>3.8</v>
      </c>
      <c r="H51" s="28">
        <f>ROUND((E51+4*F51+G51)/6, 1)</f>
        <v>4.5999999999999996</v>
      </c>
      <c r="I51" s="28">
        <f>ROUND(H51*0.1, 1)</f>
        <v>0.5</v>
      </c>
      <c r="J51" s="28">
        <f>ROUND(H51+I51, 1)</f>
        <v>5.0999999999999996</v>
      </c>
      <c r="K51" s="6" t="s">
        <v>19</v>
      </c>
      <c r="L51" s="6" t="s">
        <v>304</v>
      </c>
    </row>
    <row r="52" spans="1:12" ht="83.25">
      <c r="A52" s="6" t="s">
        <v>145</v>
      </c>
      <c r="B52" s="7" t="s">
        <v>146</v>
      </c>
      <c r="C52" s="6" t="s">
        <v>36</v>
      </c>
      <c r="D52" s="6" t="s">
        <v>279</v>
      </c>
      <c r="E52" s="8">
        <v>3</v>
      </c>
      <c r="F52" s="8">
        <v>5</v>
      </c>
      <c r="G52" s="8">
        <v>3.2</v>
      </c>
      <c r="H52" s="28">
        <f>ROUND((E52+4*F52+G52)/6, 1)</f>
        <v>4.4000000000000004</v>
      </c>
      <c r="I52" s="28">
        <f>ROUND(H52*0.1, 1)</f>
        <v>0.4</v>
      </c>
      <c r="J52" s="28">
        <f>ROUND(H52+I52, 1)</f>
        <v>4.8</v>
      </c>
      <c r="K52" s="6" t="s">
        <v>19</v>
      </c>
      <c r="L52" s="6" t="s">
        <v>305</v>
      </c>
    </row>
    <row r="53" spans="1:12" ht="94.5">
      <c r="A53" s="5" t="s">
        <v>147</v>
      </c>
      <c r="B53" s="19"/>
      <c r="C53" s="5"/>
      <c r="D53" s="27"/>
      <c r="E53" s="27"/>
      <c r="F53" s="27"/>
      <c r="G53" s="27"/>
      <c r="H53" s="27"/>
      <c r="I53" s="27"/>
      <c r="J53" s="27"/>
      <c r="K53" s="27"/>
      <c r="L53" s="27"/>
    </row>
    <row r="54" spans="1:12" ht="27.75">
      <c r="A54" s="6" t="s">
        <v>148</v>
      </c>
      <c r="B54" s="7" t="s">
        <v>149</v>
      </c>
      <c r="C54" s="6" t="s">
        <v>34</v>
      </c>
      <c r="D54" s="6" t="s">
        <v>279</v>
      </c>
      <c r="E54" s="8">
        <v>2</v>
      </c>
      <c r="F54" s="8">
        <v>3</v>
      </c>
      <c r="G54" s="8">
        <v>2</v>
      </c>
      <c r="H54" s="28">
        <f t="shared" ref="H54:H61" si="12">ROUND((E54+4*F54+G54)/6, 1)</f>
        <v>2.7</v>
      </c>
      <c r="I54" s="28">
        <f t="shared" ref="I54:I61" si="13">ROUND(H54*0.1, 1)</f>
        <v>0.3</v>
      </c>
      <c r="J54" s="28">
        <f t="shared" ref="J54:J61" si="14">ROUND(H54+I54, 1)</f>
        <v>3</v>
      </c>
      <c r="K54" s="6" t="s">
        <v>19</v>
      </c>
      <c r="L54" s="6" t="s">
        <v>306</v>
      </c>
    </row>
    <row r="55" spans="1:12" ht="27.75">
      <c r="A55" s="6" t="s">
        <v>150</v>
      </c>
      <c r="B55" s="7" t="s">
        <v>151</v>
      </c>
      <c r="C55" s="6" t="s">
        <v>36</v>
      </c>
      <c r="D55" s="6" t="s">
        <v>279</v>
      </c>
      <c r="E55" s="8">
        <v>3</v>
      </c>
      <c r="F55" s="8">
        <v>4</v>
      </c>
      <c r="G55" s="8">
        <v>3</v>
      </c>
      <c r="H55" s="28">
        <f t="shared" si="12"/>
        <v>3.7</v>
      </c>
      <c r="I55" s="28">
        <f t="shared" si="13"/>
        <v>0.4</v>
      </c>
      <c r="J55" s="28">
        <f t="shared" si="14"/>
        <v>4.0999999999999996</v>
      </c>
      <c r="K55" s="6" t="s">
        <v>15</v>
      </c>
      <c r="L55" s="6" t="s">
        <v>307</v>
      </c>
    </row>
    <row r="56" spans="1:12" ht="55.5">
      <c r="A56" s="6" t="s">
        <v>152</v>
      </c>
      <c r="B56" s="7" t="s">
        <v>153</v>
      </c>
      <c r="C56" s="6" t="s">
        <v>40</v>
      </c>
      <c r="D56" s="6" t="s">
        <v>279</v>
      </c>
      <c r="E56" s="8">
        <v>7</v>
      </c>
      <c r="F56" s="8">
        <v>10</v>
      </c>
      <c r="G56" s="8">
        <v>7</v>
      </c>
      <c r="H56" s="28">
        <f t="shared" si="12"/>
        <v>9</v>
      </c>
      <c r="I56" s="28">
        <f t="shared" si="13"/>
        <v>0.9</v>
      </c>
      <c r="J56" s="28">
        <f t="shared" si="14"/>
        <v>9.9</v>
      </c>
      <c r="K56" s="6" t="s">
        <v>15</v>
      </c>
      <c r="L56" s="6" t="s">
        <v>308</v>
      </c>
    </row>
    <row r="57" spans="1:12" ht="55.5">
      <c r="A57" s="6" t="s">
        <v>154</v>
      </c>
      <c r="B57" s="7" t="s">
        <v>155</v>
      </c>
      <c r="C57" s="6" t="s">
        <v>38</v>
      </c>
      <c r="D57" s="6" t="s">
        <v>279</v>
      </c>
      <c r="E57" s="8">
        <v>5</v>
      </c>
      <c r="F57" s="8">
        <v>7</v>
      </c>
      <c r="G57" s="8">
        <v>5</v>
      </c>
      <c r="H57" s="28">
        <f t="shared" si="12"/>
        <v>6.3</v>
      </c>
      <c r="I57" s="28">
        <f t="shared" si="13"/>
        <v>0.6</v>
      </c>
      <c r="J57" s="28">
        <f t="shared" si="14"/>
        <v>6.9</v>
      </c>
      <c r="K57" s="6" t="s">
        <v>309</v>
      </c>
      <c r="L57" s="6" t="s">
        <v>310</v>
      </c>
    </row>
    <row r="58" spans="1:12" ht="41.65">
      <c r="A58" s="6" t="s">
        <v>156</v>
      </c>
      <c r="B58" s="7" t="s">
        <v>157</v>
      </c>
      <c r="C58" s="6" t="s">
        <v>34</v>
      </c>
      <c r="D58" s="6" t="s">
        <v>279</v>
      </c>
      <c r="E58" s="8">
        <v>2</v>
      </c>
      <c r="F58" s="8">
        <v>3</v>
      </c>
      <c r="G58" s="8">
        <v>2</v>
      </c>
      <c r="H58" s="28">
        <f t="shared" si="12"/>
        <v>2.7</v>
      </c>
      <c r="I58" s="28">
        <f t="shared" si="13"/>
        <v>0.3</v>
      </c>
      <c r="J58" s="28">
        <f t="shared" si="14"/>
        <v>3</v>
      </c>
      <c r="K58" s="6" t="s">
        <v>15</v>
      </c>
      <c r="L58" s="6" t="s">
        <v>311</v>
      </c>
    </row>
    <row r="59" spans="1:12" ht="55.5">
      <c r="A59" s="6" t="s">
        <v>158</v>
      </c>
      <c r="B59" s="7" t="s">
        <v>159</v>
      </c>
      <c r="C59" s="6" t="s">
        <v>36</v>
      </c>
      <c r="D59" s="6" t="s">
        <v>279</v>
      </c>
      <c r="E59" s="8">
        <v>4</v>
      </c>
      <c r="F59" s="8">
        <v>5</v>
      </c>
      <c r="G59" s="8">
        <v>3.8</v>
      </c>
      <c r="H59" s="28">
        <f t="shared" si="12"/>
        <v>4.5999999999999996</v>
      </c>
      <c r="I59" s="28">
        <f t="shared" si="13"/>
        <v>0.5</v>
      </c>
      <c r="J59" s="28">
        <f t="shared" si="14"/>
        <v>5.0999999999999996</v>
      </c>
      <c r="K59" s="6" t="s">
        <v>312</v>
      </c>
      <c r="L59" s="6" t="s">
        <v>313</v>
      </c>
    </row>
    <row r="60" spans="1:12" ht="69.400000000000006">
      <c r="A60" s="6" t="s">
        <v>160</v>
      </c>
      <c r="B60" s="7" t="s">
        <v>161</v>
      </c>
      <c r="C60" s="6" t="s">
        <v>36</v>
      </c>
      <c r="D60" s="6" t="s">
        <v>279</v>
      </c>
      <c r="E60" s="8">
        <v>3</v>
      </c>
      <c r="F60" s="8">
        <v>4</v>
      </c>
      <c r="G60" s="8">
        <v>3</v>
      </c>
      <c r="H60" s="28">
        <f t="shared" si="12"/>
        <v>3.7</v>
      </c>
      <c r="I60" s="28">
        <f t="shared" si="13"/>
        <v>0.4</v>
      </c>
      <c r="J60" s="28">
        <f t="shared" si="14"/>
        <v>4.0999999999999996</v>
      </c>
      <c r="K60" s="6" t="s">
        <v>15</v>
      </c>
      <c r="L60" s="6" t="s">
        <v>314</v>
      </c>
    </row>
    <row r="61" spans="1:12" ht="55.5">
      <c r="A61" s="6" t="s">
        <v>162</v>
      </c>
      <c r="B61" s="7" t="s">
        <v>163</v>
      </c>
      <c r="C61" s="6" t="s">
        <v>34</v>
      </c>
      <c r="D61" s="6" t="s">
        <v>279</v>
      </c>
      <c r="E61" s="8">
        <v>2</v>
      </c>
      <c r="F61" s="8">
        <v>3</v>
      </c>
      <c r="G61" s="8">
        <v>2</v>
      </c>
      <c r="H61" s="28">
        <f t="shared" si="12"/>
        <v>2.7</v>
      </c>
      <c r="I61" s="28">
        <f t="shared" si="13"/>
        <v>0.3</v>
      </c>
      <c r="J61" s="28">
        <f t="shared" si="14"/>
        <v>3</v>
      </c>
      <c r="K61" s="6" t="s">
        <v>17</v>
      </c>
      <c r="L61" s="6" t="s">
        <v>315</v>
      </c>
    </row>
    <row r="62" spans="1:12" ht="54">
      <c r="A62" s="5" t="s">
        <v>164</v>
      </c>
      <c r="B62" s="19" t="s">
        <v>165</v>
      </c>
      <c r="C62" s="5"/>
      <c r="D62" s="27"/>
      <c r="E62" s="27"/>
      <c r="F62" s="27"/>
      <c r="G62" s="27"/>
      <c r="H62" s="27"/>
      <c r="I62" s="27"/>
      <c r="J62" s="27"/>
      <c r="K62" s="27"/>
      <c r="L62" s="27"/>
    </row>
    <row r="63" spans="1:12" ht="40.5">
      <c r="A63" s="5" t="s">
        <v>166</v>
      </c>
      <c r="B63" s="19"/>
      <c r="C63" s="5"/>
      <c r="D63" s="27"/>
      <c r="E63" s="27"/>
      <c r="F63" s="27"/>
      <c r="G63" s="27"/>
      <c r="H63" s="27"/>
      <c r="I63" s="27"/>
      <c r="J63" s="27"/>
      <c r="K63" s="27"/>
      <c r="L63" s="27"/>
    </row>
    <row r="64" spans="1:12" ht="69.400000000000006">
      <c r="A64" s="6" t="s">
        <v>167</v>
      </c>
      <c r="B64" s="7" t="s">
        <v>168</v>
      </c>
      <c r="C64" s="6" t="s">
        <v>34</v>
      </c>
      <c r="D64" s="6" t="s">
        <v>279</v>
      </c>
      <c r="E64" s="8">
        <v>2</v>
      </c>
      <c r="F64" s="8">
        <v>3</v>
      </c>
      <c r="G64" s="8">
        <v>2</v>
      </c>
      <c r="H64" s="28">
        <f>ROUND((E64+4*F64+G64)/6, 1)</f>
        <v>2.7</v>
      </c>
      <c r="I64" s="28">
        <f>ROUND(H64*0.1, 1)</f>
        <v>0.3</v>
      </c>
      <c r="J64" s="28">
        <f>ROUND(H64+I64, 1)</f>
        <v>3</v>
      </c>
      <c r="K64" s="6" t="s">
        <v>13</v>
      </c>
      <c r="L64" s="6" t="s">
        <v>316</v>
      </c>
    </row>
    <row r="65" spans="1:12" ht="83.25">
      <c r="A65" s="6" t="s">
        <v>169</v>
      </c>
      <c r="B65" s="7" t="s">
        <v>170</v>
      </c>
      <c r="C65" s="6" t="s">
        <v>36</v>
      </c>
      <c r="D65" s="6" t="s">
        <v>279</v>
      </c>
      <c r="E65" s="8">
        <v>3</v>
      </c>
      <c r="F65" s="8">
        <v>5</v>
      </c>
      <c r="G65" s="8">
        <v>3.2</v>
      </c>
      <c r="H65" s="28">
        <f>ROUND((E65+4*F65+G65)/6, 1)</f>
        <v>4.4000000000000004</v>
      </c>
      <c r="I65" s="28">
        <f>ROUND(H65*0.1, 1)</f>
        <v>0.4</v>
      </c>
      <c r="J65" s="28">
        <f>ROUND(H65+I65, 1)</f>
        <v>4.8</v>
      </c>
      <c r="K65" s="6" t="s">
        <v>13</v>
      </c>
      <c r="L65" s="6" t="s">
        <v>317</v>
      </c>
    </row>
    <row r="66" spans="1:12" ht="41.65">
      <c r="A66" s="6" t="s">
        <v>171</v>
      </c>
      <c r="B66" s="7" t="s">
        <v>172</v>
      </c>
      <c r="C66" s="6" t="s">
        <v>36</v>
      </c>
      <c r="D66" s="6" t="s">
        <v>279</v>
      </c>
      <c r="E66" s="8">
        <v>4</v>
      </c>
      <c r="F66" s="8">
        <v>5</v>
      </c>
      <c r="G66" s="8">
        <v>3.8</v>
      </c>
      <c r="H66" s="28">
        <f>ROUND((E66+4*F66+G66)/6, 1)</f>
        <v>4.5999999999999996</v>
      </c>
      <c r="I66" s="28">
        <f>ROUND(H66*0.1, 1)</f>
        <v>0.5</v>
      </c>
      <c r="J66" s="28">
        <f>ROUND(H66+I66, 1)</f>
        <v>5.0999999999999996</v>
      </c>
      <c r="K66" s="6" t="s">
        <v>318</v>
      </c>
      <c r="L66" s="6" t="s">
        <v>319</v>
      </c>
    </row>
    <row r="67" spans="1:12" ht="41.65">
      <c r="A67" s="6" t="s">
        <v>173</v>
      </c>
      <c r="B67" s="7" t="s">
        <v>174</v>
      </c>
      <c r="C67" s="6" t="s">
        <v>36</v>
      </c>
      <c r="D67" s="6" t="s">
        <v>279</v>
      </c>
      <c r="E67" s="8">
        <v>3</v>
      </c>
      <c r="F67" s="8">
        <v>4</v>
      </c>
      <c r="G67" s="8">
        <v>3</v>
      </c>
      <c r="H67" s="28">
        <f>ROUND((E67+4*F67+G67)/6, 1)</f>
        <v>3.7</v>
      </c>
      <c r="I67" s="28">
        <f>ROUND(H67*0.1, 1)</f>
        <v>0.4</v>
      </c>
      <c r="J67" s="28">
        <f>ROUND(H67+I67, 1)</f>
        <v>4.0999999999999996</v>
      </c>
      <c r="K67" s="6" t="s">
        <v>312</v>
      </c>
      <c r="L67" s="6" t="s">
        <v>320</v>
      </c>
    </row>
    <row r="68" spans="1:12" ht="40.5">
      <c r="A68" s="5" t="s">
        <v>175</v>
      </c>
      <c r="B68" s="19" t="s">
        <v>176</v>
      </c>
      <c r="C68" s="5"/>
      <c r="D68" s="27"/>
      <c r="E68" s="27"/>
      <c r="F68" s="27"/>
      <c r="G68" s="27"/>
      <c r="H68" s="27"/>
      <c r="I68" s="27"/>
      <c r="J68" s="27"/>
      <c r="K68" s="27"/>
      <c r="L68" s="27"/>
    </row>
    <row r="69" spans="1:12" ht="69.400000000000006">
      <c r="A69" s="6" t="s">
        <v>177</v>
      </c>
      <c r="B69" s="7" t="s">
        <v>178</v>
      </c>
      <c r="C69" s="6" t="s">
        <v>34</v>
      </c>
      <c r="D69" s="6" t="s">
        <v>279</v>
      </c>
      <c r="E69" s="8">
        <v>2</v>
      </c>
      <c r="F69" s="8">
        <v>2</v>
      </c>
      <c r="G69" s="8">
        <v>1.8</v>
      </c>
      <c r="H69" s="28">
        <f>ROUND((E69+4*F69+G69)/6, 1)</f>
        <v>2</v>
      </c>
      <c r="I69" s="28">
        <f>ROUND(H69*0.1, 1)</f>
        <v>0.2</v>
      </c>
      <c r="J69" s="28">
        <f>ROUND(H69+I69, 1)</f>
        <v>2.2000000000000002</v>
      </c>
      <c r="K69" s="6" t="s">
        <v>13</v>
      </c>
      <c r="L69" s="6" t="s">
        <v>321</v>
      </c>
    </row>
    <row r="70" spans="1:12" ht="41.65">
      <c r="A70" s="6" t="s">
        <v>179</v>
      </c>
      <c r="B70" s="7" t="s">
        <v>180</v>
      </c>
      <c r="C70" s="6" t="s">
        <v>34</v>
      </c>
      <c r="D70" s="6" t="s">
        <v>279</v>
      </c>
      <c r="E70" s="8">
        <v>2</v>
      </c>
      <c r="F70" s="8">
        <v>3</v>
      </c>
      <c r="G70" s="8">
        <v>2</v>
      </c>
      <c r="H70" s="28">
        <f>ROUND((E70+4*F70+G70)/6, 1)</f>
        <v>2.7</v>
      </c>
      <c r="I70" s="28">
        <f>ROUND(H70*0.1, 1)</f>
        <v>0.3</v>
      </c>
      <c r="J70" s="28">
        <f>ROUND(H70+I70, 1)</f>
        <v>3</v>
      </c>
      <c r="K70" s="6" t="s">
        <v>322</v>
      </c>
      <c r="L70" s="6" t="s">
        <v>323</v>
      </c>
    </row>
    <row r="71" spans="1:12" ht="41.65">
      <c r="A71" s="6" t="s">
        <v>181</v>
      </c>
      <c r="B71" s="7" t="s">
        <v>182</v>
      </c>
      <c r="C71" s="6" t="s">
        <v>36</v>
      </c>
      <c r="D71" s="6" t="s">
        <v>279</v>
      </c>
      <c r="E71" s="8">
        <v>3</v>
      </c>
      <c r="F71" s="8">
        <v>4</v>
      </c>
      <c r="G71" s="8">
        <v>3</v>
      </c>
      <c r="H71" s="28">
        <f>ROUND((E71+4*F71+G71)/6, 1)</f>
        <v>3.7</v>
      </c>
      <c r="I71" s="28">
        <f>ROUND(H71*0.1, 1)</f>
        <v>0.4</v>
      </c>
      <c r="J71" s="28">
        <f>ROUND(H71+I71, 1)</f>
        <v>4.0999999999999996</v>
      </c>
      <c r="K71" s="6" t="s">
        <v>324</v>
      </c>
      <c r="L71" s="6" t="s">
        <v>325</v>
      </c>
    </row>
    <row r="72" spans="1:12" ht="69.400000000000006">
      <c r="A72" s="6" t="s">
        <v>183</v>
      </c>
      <c r="B72" s="7" t="s">
        <v>184</v>
      </c>
      <c r="C72" s="6" t="s">
        <v>34</v>
      </c>
      <c r="D72" s="6" t="s">
        <v>279</v>
      </c>
      <c r="E72" s="8">
        <v>1</v>
      </c>
      <c r="F72" s="8">
        <v>2</v>
      </c>
      <c r="G72" s="8">
        <v>1.2</v>
      </c>
      <c r="H72" s="28">
        <f>ROUND((E72+4*F72+G72)/6, 1)</f>
        <v>1.7</v>
      </c>
      <c r="I72" s="28">
        <f>ROUND(H72*0.1, 1)</f>
        <v>0.2</v>
      </c>
      <c r="J72" s="28">
        <f>ROUND(H72+I72, 1)</f>
        <v>1.9</v>
      </c>
      <c r="K72" s="6" t="s">
        <v>11</v>
      </c>
      <c r="L72" s="6" t="s">
        <v>326</v>
      </c>
    </row>
    <row r="73" spans="1:12" ht="41.65">
      <c r="A73" s="6" t="s">
        <v>185</v>
      </c>
      <c r="B73" s="7" t="s">
        <v>186</v>
      </c>
      <c r="C73" s="6" t="s">
        <v>34</v>
      </c>
      <c r="D73" s="6" t="s">
        <v>279</v>
      </c>
      <c r="E73" s="8">
        <v>2</v>
      </c>
      <c r="F73" s="8">
        <v>3</v>
      </c>
      <c r="G73" s="8">
        <v>2</v>
      </c>
      <c r="H73" s="28">
        <f>ROUND((E73+4*F73+G73)/6, 1)</f>
        <v>2.7</v>
      </c>
      <c r="I73" s="28">
        <f>ROUND(H73*0.1, 1)</f>
        <v>0.3</v>
      </c>
      <c r="J73" s="28">
        <f>ROUND(H73+I73, 1)</f>
        <v>3</v>
      </c>
      <c r="K73" s="6" t="s">
        <v>13</v>
      </c>
      <c r="L73" s="6" t="s">
        <v>327</v>
      </c>
    </row>
    <row r="74" spans="1:12" ht="54">
      <c r="A74" s="5" t="s">
        <v>187</v>
      </c>
      <c r="B74" s="19"/>
      <c r="C74" s="5"/>
      <c r="D74" s="27"/>
      <c r="E74" s="27"/>
      <c r="F74" s="27"/>
      <c r="G74" s="27"/>
      <c r="H74" s="27"/>
      <c r="I74" s="27"/>
      <c r="J74" s="27"/>
      <c r="K74" s="27"/>
      <c r="L74" s="27"/>
    </row>
    <row r="75" spans="1:12">
      <c r="A75" s="12"/>
      <c r="B75" s="25" t="s">
        <v>328</v>
      </c>
      <c r="C75" s="29"/>
      <c r="D75" s="29"/>
      <c r="E75" s="29"/>
      <c r="F75" s="29"/>
      <c r="G75" s="29"/>
      <c r="H75" s="30">
        <f>SUM(H7:H74)</f>
        <v>189.29999999999995</v>
      </c>
      <c r="I75" s="29"/>
      <c r="J75" s="30">
        <f>SUM(J7:J74)</f>
        <v>209.19999999999996</v>
      </c>
      <c r="K75" s="29"/>
      <c r="L75" s="29"/>
    </row>
  </sheetData>
  <mergeCells count="9">
    <mergeCell ref="A5:A6"/>
    <mergeCell ref="K5:K6"/>
    <mergeCell ref="J5:J6"/>
    <mergeCell ref="L5:L6"/>
    <mergeCell ref="E5:H5"/>
    <mergeCell ref="C5:C6"/>
    <mergeCell ref="B5:B6"/>
    <mergeCell ref="I5:I6"/>
    <mergeCell ref="D5:D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7D1DA4-EB1B-40DC-A597-0D234074840C}"/>
</file>

<file path=customXml/itemProps2.xml><?xml version="1.0" encoding="utf-8"?>
<ds:datastoreItem xmlns:ds="http://schemas.openxmlformats.org/officeDocument/2006/customXml" ds:itemID="{2A5F16FF-7A5C-43B2-ABC6-491E81750D3C}"/>
</file>

<file path=customXml/itemProps3.xml><?xml version="1.0" encoding="utf-8"?>
<ds:datastoreItem xmlns:ds="http://schemas.openxmlformats.org/officeDocument/2006/customXml" ds:itemID="{9D606F0C-995C-410B-8D0F-D3D230BA7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Pham Doan Bao Thien 202490090</cp:lastModifiedBy>
  <cp:revision/>
  <dcterms:created xsi:type="dcterms:W3CDTF">2026-09-16T14:00:51Z</dcterms:created>
  <dcterms:modified xsi:type="dcterms:W3CDTF">2026-09-18T16:08:50Z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