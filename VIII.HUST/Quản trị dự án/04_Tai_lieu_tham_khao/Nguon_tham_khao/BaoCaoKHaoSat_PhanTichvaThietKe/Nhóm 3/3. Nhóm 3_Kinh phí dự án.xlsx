
<file path=[Content_Types].xml><?xml version="1.0" encoding="utf-8"?>
<Types xmlns="http://schemas.openxmlformats.org/package/2006/content-types">
  <Default Extension="odttf" ContentType="application/vnd.openxmlformats-officedocument.obfuscatedFont"/>
  <Default Extension="rels" ContentType="application/vnd.openxmlformats-package.relationships+xml"/>
  <Default Extension="xml" ContentType="application/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docProps/core.xml" ContentType="application/vnd.openxmlformats-package.core-properties+xml"/>
  <Override PartName="/docProps/custom.xml" ContentType="application/vnd.openxmlformats-officedocument.custom-properties+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metadata" ContentType="application/binary"/>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uToan" sheetId="1" r:id="rId4"/>
    <sheet state="visible" name="ChuyenDe" sheetId="2" r:id="rId5"/>
    <sheet state="visible" name="CongLaoDong" sheetId="3" r:id="rId6"/>
    <sheet state="visible" name="ThietBiVatTu" sheetId="4" r:id="rId7"/>
    <sheet state="visible" name="ChiKhac" sheetId="5" r:id="rId8"/>
  </sheets>
  <definedNames/>
  <calcPr/>
  <extLst>
    <ext uri="GoogleSheetsCustomDataVersion2">
      <go:sheetsCustomData xmlns:go="http://customooxmlschemas.google.com/" r:id="rId9" roundtripDataChecksum="xSnPK7jaFrYWyrPGqT989bLWxMTKmjRxErOq38HhIIs="/>
    </ext>
  </extLst>
</workbook>
</file>

<file path=xl/sharedStrings.xml><?xml version="1.0" encoding="utf-8"?>
<sst xmlns="http://schemas.openxmlformats.org/spreadsheetml/2006/main" count="428" uniqueCount="201">
  <si>
    <t>PHỤ LỤC DỰ TOÁN KINH PHÍ
1. Nhân công lao động khoa học (khoán chi)</t>
  </si>
  <si>
    <t>STT</t>
  </si>
  <si>
    <t xml:space="preserve">BẢNG DỰ TOÁN KINH PHÍ </t>
  </si>
  <si>
    <t>PHỤ LỤC DỰ TOÁN KINH PHÍ
2. Thiết bị vật tư</t>
  </si>
  <si>
    <t>Các nội dung, công việc thực hiện</t>
  </si>
  <si>
    <t>Sản phẩm</t>
  </si>
  <si>
    <t>Thời gian</t>
  </si>
  <si>
    <t>Tiến trình</t>
  </si>
  <si>
    <t>Nhiệm vụ</t>
  </si>
  <si>
    <t>Người thực hiện</t>
  </si>
  <si>
    <t>ĐỀ TÀI</t>
  </si>
  <si>
    <t xml:space="preserve">Xây dựng hệ thống quản lý du học sinh bậc đại học của trung tâm tư vấn vấn du học Amec </t>
  </si>
  <si>
    <t>MÃ SỐ</t>
  </si>
  <si>
    <t>CNTT20261_N03</t>
  </si>
  <si>
    <t>CHỦ TRÌ</t>
  </si>
  <si>
    <t>Bùi Thanh Phương</t>
  </si>
  <si>
    <t>Công số (manday)</t>
  </si>
  <si>
    <t>THỜI GIAN</t>
  </si>
  <si>
    <t>01/09/2026 ~ 31/03/2027</t>
  </si>
  <si>
    <t>Định mức</t>
  </si>
  <si>
    <t>Công lao động khoa học thực hiện theo mức lương cơ bản:</t>
  </si>
  <si>
    <t>TT</t>
  </si>
  <si>
    <t>Gía trị</t>
  </si>
  <si>
    <t>Thiết bị vật tư phục vụ đề tài</t>
  </si>
  <si>
    <t>Danh mục</t>
  </si>
  <si>
    <t>Số tiền</t>
  </si>
  <si>
    <t>Lương tối thiểu</t>
  </si>
  <si>
    <t>Ghi chú</t>
  </si>
  <si>
    <t>A. KHẢO SÁT &amp; YÊU CẦU</t>
  </si>
  <si>
    <t>Công lao động</t>
  </si>
  <si>
    <t>Họ và tên</t>
  </si>
  <si>
    <t>Số ngày công</t>
  </si>
  <si>
    <t>Hệ số nhiệm vụ</t>
  </si>
  <si>
    <t>Định mức / ngày công</t>
  </si>
  <si>
    <t>Thành tiền</t>
  </si>
  <si>
    <t>Chủ trì</t>
  </si>
  <si>
    <t>Khảo sát cách trung tâm tiếp nhận nhu cầu, tư vấn quốc gia, trường, ngành học và theo dõi quá trình tư vấn cho du học sinh.</t>
  </si>
  <si>
    <t>Báo cáo nghiên cứu</t>
  </si>
  <si>
    <t>TÊN</t>
  </si>
  <si>
    <t>ĐƠN VỊ TÍNH</t>
  </si>
  <si>
    <t>SỐ LƯỢNG</t>
  </si>
  <si>
    <t>01/09/2026-25/09/2026</t>
  </si>
  <si>
    <t>ĐƠN GIÁ (VNĐ)</t>
  </si>
  <si>
    <t>THÀNH TIỀN (VNĐ)</t>
  </si>
  <si>
    <t>I</t>
  </si>
  <si>
    <t>Giai đoạn A (Khảo sát hiện trạng &amp; Thu thập yêu cầu nghiệp vụ)</t>
  </si>
  <si>
    <t>Từ đầu</t>
  </si>
  <si>
    <t>Chủ nhiệm</t>
  </si>
  <si>
    <t>Vật tư, Thiết bị</t>
  </si>
  <si>
    <t>Chi Khác (VPP, Công tác, Quản lý..)</t>
  </si>
  <si>
    <t>Thuê laptop cấu hình cao cho nhân sự onsite</t>
  </si>
  <si>
    <t>Bộ</t>
  </si>
  <si>
    <t>Tổng</t>
  </si>
  <si>
    <t>II</t>
  </si>
  <si>
    <t>Giai đoạn B (Phân tích chức năng &amp; Đặc tả Use Case)</t>
  </si>
  <si>
    <t>Nguyễn Đức Hậu</t>
  </si>
  <si>
    <t>Thành viên chính</t>
  </si>
  <si>
    <t>III</t>
  </si>
  <si>
    <t>Giai đoạn C (Phân tích cấu trúc &amp; Hành vi hệ thống)</t>
  </si>
  <si>
    <t>Cloud Server (Môi trường Staging/Dev)</t>
  </si>
  <si>
    <t>Tháng</t>
  </si>
  <si>
    <t>Bằng chữ: Bốn trăm bảy mươi lăm triệu không trăm chín mươi nghìn sáu trăm đồng</t>
  </si>
  <si>
    <t>Thuê bộ máy tính onsite</t>
  </si>
  <si>
    <t>IV</t>
  </si>
  <si>
    <t>Lê Linh Hương</t>
  </si>
  <si>
    <t>Khảo sát quy trình tiếp nhận, kiểm tra, cập nhật và lưu trữ thông tin hồ sơ của du học sinh.</t>
  </si>
  <si>
    <t>Giai đoạn D (Thiết kế kiến trúc, Lớp chi tiết &amp; CSDL)</t>
  </si>
  <si>
    <t>Hà Nội, Ngày 13 tháng 9 năm 2026</t>
  </si>
  <si>
    <t>Chủ nhiệm đề tài</t>
  </si>
  <si>
    <t>Chu Quang Hiếu</t>
  </si>
  <si>
    <t>Đăng ký tên miền hệ thống (.vn)</t>
  </si>
  <si>
    <t>Năm</t>
  </si>
  <si>
    <t>V</t>
  </si>
  <si>
    <t>Giai đoạn E (Thiết kế UI/UX &amp; Lập trình mô đun phần mềm)</t>
  </si>
  <si>
    <t>Cloud Server (Môi trường Testing/Pre-prod)</t>
  </si>
  <si>
    <t>Object Storage lưu hồ sơ điện tử (Dev/Test)</t>
  </si>
  <si>
    <t>Trần Thanh Ngân</t>
  </si>
  <si>
    <t>VI</t>
  </si>
  <si>
    <t>Giai đoạn F (Kiểm thử, Đào tạo, Bàn giao &amp; Nghiệm thu)</t>
  </si>
  <si>
    <t>Khảo sát quy trình quản lý hồ sơ Visa, tình trạng Visa, thời hạn Visa và quá trình gia hạn Visa cho du học sinh.</t>
  </si>
  <si>
    <t>Object Storage lưu hồ sơ điện tử Production</t>
  </si>
  <si>
    <t>TỔNG CỘNG</t>
  </si>
  <si>
    <t>Khảo sát cách trung tâm quản lý học phí, hóa đơn, các khoản thanh toán và tình trạng tài chính của du học sinh.</t>
  </si>
  <si>
    <t>Bằng chữ:Tám mươi triệu ba trăm hai mươi lăm nghìn đồng</t>
  </si>
  <si>
    <t>Tổng hợp kết quả khảo sát, xác định quy trình hiện tại, các vấn đề còn tồn tại và nhu cầu cần giải quyết bằng hệ thống.</t>
  </si>
  <si>
    <t>Sau Task 4</t>
  </si>
  <si>
    <t>Người lập bảng</t>
  </si>
  <si>
    <t>Bằng chữ: Ba trăm bốn mươi hai triệu tám trăm sáu mươi lăm nghìn sáu trăm đồng</t>
  </si>
  <si>
    <t>PHỤ LỤC DỰ TOÁN KINH PHÍ
3. Chi khác</t>
  </si>
  <si>
    <t>Phân tích các yêu cầu chức năng và phi chức năng dựa trên quy trình hoạt động và nhu cầu sử dụng của trung tâm.</t>
  </si>
  <si>
    <t>Sau Task 5</t>
  </si>
  <si>
    <t>Chuyển các yêu cầu đã phân tích thành tài liệu đặc tả làm cơ sở cho việc phân tích, thiết kế và xây dựng hệ thống.</t>
  </si>
  <si>
    <t>Chi khác phục vụ đề tài</t>
  </si>
  <si>
    <t>Trao đổi với người dùng, tiếp nhận ý kiến phản hồi và điều chỉnh các yêu cầu để bảo đảm phù hợp với nghiệp vụ.</t>
  </si>
  <si>
    <t>Sau Task 7</t>
  </si>
  <si>
    <t>NỘI DUNG</t>
  </si>
  <si>
    <t>Mô tả chi tiết</t>
  </si>
  <si>
    <t>SỐ TIỀN (VNĐ)</t>
  </si>
  <si>
    <t>B. PHÂN TÍCH &amp; THIẾT KẾ HỆ THỐNG</t>
  </si>
  <si>
    <r>
      <rPr>
        <rFont val="Times New Roman"/>
        <b/>
        <color theme="1"/>
        <sz val="12.0"/>
      </rPr>
      <t xml:space="preserve">Giai đoạn A </t>
    </r>
    <r>
      <rPr>
        <rFont val="Times New Roman"/>
        <b val="0"/>
        <i/>
        <color theme="1"/>
        <sz val="12.0"/>
      </rPr>
      <t>(Khảo sát hiện trạng, thu thập yêu cầu &amp; mô tả quy trình nghiệp vụ - Tháng 09/2026 - 10/2026)</t>
    </r>
  </si>
  <si>
    <t>Xác định các tác nhân tham gia hệ thống như quản trị viên, nhân viên tư vấn và du học sinh.</t>
  </si>
  <si>
    <t>Biểu đồ Lớp chi tiết, Mô hình ERD &amp; Đặc tả các bảng CSDL </t>
  </si>
  <si>
    <t>Văn phòng phẩm (phô tô, in ấn tài liệu)</t>
  </si>
  <si>
    <t>25/09/2026-24/11/2026</t>
  </si>
  <si>
    <t>Sau Task 8</t>
  </si>
  <si>
    <t>In ấn biểu mẫu khảo sát hiện trạng nghiệp vụ, photo tài liệu tài nguyên hệ thống hiện tại của FlyHigh và in tài liệu Tôn chỉ dự án (Project Charter).</t>
  </si>
  <si>
    <t>Chi phí khảo sát (đi lại, workshop...)</t>
  </si>
  <si>
    <t>Chi phí di chuyển khảo sát trực tiếp tại các phòng ban FlyHigh, tổ chức workshop phỏng vấn thu thập yêu cầu người dùng (Tuyển sinh, Hồ sơ, Kế toán) và hỗ trợ nước uống họp khảo sát.</t>
  </si>
  <si>
    <r>
      <rPr>
        <rFont val="Times New Roman"/>
        <b/>
        <color theme="1"/>
        <sz val="12.0"/>
      </rPr>
      <t>Giai đoạn B</t>
    </r>
    <r>
      <rPr>
        <rFont val="Times New Roman"/>
        <b val="0"/>
        <i/>
        <color theme="1"/>
        <sz val="12.0"/>
      </rPr>
      <t xml:space="preserve"> (Phân tích chức năng và đặc tả Use Case hệ thống - Tháng 10/2026 - 11/2026)</t>
    </r>
  </si>
  <si>
    <t>In ấn hồ sơ đặc tả yêu cầu nghiệp vụ (BRD), tài liệu phân tích Use Cases, biểu đồ Usecase tổng quát và phân rã để rà soát với khách hàng.</t>
  </si>
  <si>
    <t>Tổ chức 01 buổi Workshop rà soát, thống nhất luồng nghiệp vụ và đặc tả Use Case với Ban Giám đốc và các Trưởng bộ phận của FlyHigh.</t>
  </si>
  <si>
    <r>
      <rPr>
        <rFont val="Times New Roman"/>
        <b/>
        <color theme="1"/>
        <sz val="12.0"/>
      </rPr>
      <t xml:space="preserve">Giai đoạn C </t>
    </r>
    <r>
      <rPr>
        <rFont val="Times New Roman"/>
        <b val="0"/>
        <i/>
        <color theme="1"/>
        <sz val="12.0"/>
      </rPr>
      <t>(Phân tích cấu trúc &amp; hành vi hệ thống - Tháng 11/2026 - 12/2026)</t>
    </r>
  </si>
  <si>
    <t>Xác định các chức năng mà từng Actor được phép thực hiện trên hệ thống quản lý du học sinh.</t>
  </si>
  <si>
    <t>Dịch vụ Email hệ thống</t>
  </si>
  <si>
    <t>Đăng ký tài khoản Email Server/SMTP API (SendGrid/Mailgun) phục vụ thử nghiệm gửi mã xác thực và mật khẩu ngẫu nhiên cho tính năng quản lý tài khoản.</t>
  </si>
  <si>
    <t>Chi phí phục vụ OT (tiền nước, ăn uống ... cho nhân sự)</t>
  </si>
  <si>
    <t>Chi phí hỗ trợ ăn uống, nước uống bồi dưỡng cho đội ngũ BA và System Analyst tăng ca (OT) làm việc liên tục để hoàn thiện hệ thống biểu đồ trình tự (Sequence Diagram).</t>
  </si>
  <si>
    <r>
      <rPr>
        <rFont val="Times New Roman"/>
        <b/>
        <color theme="1"/>
        <sz val="12.0"/>
      </rPr>
      <t xml:space="preserve">Giai đoạn D </t>
    </r>
    <r>
      <rPr>
        <rFont val="Times New Roman"/>
        <b val="0"/>
        <i/>
        <color theme="1"/>
        <sz val="12.0"/>
      </rPr>
      <t>(Thiết kế các lớp chi tiết &amp; CSDL quan hệ - Tháng 12/2026 - 01/2027)</t>
    </r>
  </si>
  <si>
    <t>Duy trì dịch vụ Email API hệ thống phục vụ việc tích hợp và kiểm thử luồng dữ liệu thông báo qua email trong mô hình CSDL.</t>
  </si>
  <si>
    <t>Xây dựng biểu đồ Use Case tổng quát thể hiện Actor, các chức năng và mối quan hệ giữa các chức năng của hệ thống.</t>
  </si>
  <si>
    <t>Hỗ trợ chi phí ăn tối, sinh hoạt cho nhân sự thiết kế kiến trúc và CSDL tăng ca (OT) làm việc đêm để chốt mô hình ERD.</t>
  </si>
  <si>
    <r>
      <rPr>
        <rFont val="Times New Roman"/>
        <b/>
        <color theme="1"/>
        <sz val="12.0"/>
      </rPr>
      <t xml:space="preserve">Giai đoạn E </t>
    </r>
    <r>
      <rPr>
        <rFont val="Times New Roman"/>
        <b val="0"/>
        <i/>
        <color theme="1"/>
        <sz val="12.0"/>
      </rPr>
      <t>(Thiết kế giao diện UI/UX &amp; Lập trình thử nghiệm - Tháng 01/2027 - 02/2027)</t>
    </r>
  </si>
  <si>
    <t>Tích hợp chính thức Email API vào module phần mềm thử nghiệm phục vụ chức năng gửi email thông báo tự động.</t>
  </si>
  <si>
    <t xml:space="preserve">Bồi dưỡng cho lập trình viên và designer tăng ca (OT) làm việc tập trung để dựng giao diện UI/UX và hoàn thiện tính năng </t>
  </si>
  <si>
    <r>
      <rPr>
        <rFont val="Times New Roman"/>
        <b/>
        <color theme="1"/>
        <sz val="12.0"/>
      </rPr>
      <t xml:space="preserve">Giai đoạn F </t>
    </r>
    <r>
      <rPr>
        <rFont val="Times New Roman"/>
        <b val="0"/>
        <i/>
        <color theme="1"/>
        <sz val="12.0"/>
      </rPr>
      <t>(Kiểm thử, đào tạo, bàn giao &amp; nghiệm thu dự án - Tháng 02/2027 - 03/2027)</t>
    </r>
  </si>
  <si>
    <t>Duy trì Email API phục vụ đợt kiểm thử chấp nhận người dùng (UAT) toàn diện và nghiệm thu hệ thống.</t>
  </si>
  <si>
    <t>Mô tả chi tiết luồng chính, luồng thay thế, điều kiện trước/sau và xử lý của từng Use Case.</t>
  </si>
  <si>
    <t>Sau Task 11</t>
  </si>
  <si>
    <t>Chi phí hỗ trợ tăng ca cho nhân sự sửa lỗi (Bug fixing) cuối kỳ, đóng gói phần mềm, chuẩn bị tài liệu đào tạo người dùng và lập báo cáo nghiệm thu dự án.</t>
  </si>
  <si>
    <t>Xây dựng mô hình lớp gồm các lớp dữ liệu, thuộc tính, phương thức và mối quan hệ phục vụ hệ thống.</t>
  </si>
  <si>
    <t>Sau Task 12</t>
  </si>
  <si>
    <t>Bằng chữ: Năm mươi triệu chín trăm nghìn đồng</t>
  </si>
  <si>
    <t>Mô hình hóa trình tự tương tác giữa người dùng, giao diện và các thành phần hệ thống khi thực hiện chức năng.</t>
  </si>
  <si>
    <t>Mô tả luồng xử lý và các bước hoạt động của những nghiệp vụ chính trong hệ thống.</t>
  </si>
  <si>
    <t>Xác định kiến trúc tổng thể, các tầng xử lý và cách các thành phần của hệ thống tương tác với nhau.</t>
  </si>
  <si>
    <t>C. THIẾT KẾ CƠ SỞ DỮ LIỆU &amp; GIAO DIỆN</t>
  </si>
  <si>
    <t>Xác định các nhóm dữ liệu cần quản lý như sinh viên, người thân, Visa, trường học, học tập, học bổng và tài chính.</t>
  </si>
  <si>
    <t>25/11/2026-27/12/2026</t>
  </si>
  <si>
    <t>Xây dựng mô hình thực thể – liên kết, xác định khóa và mối quan hệ giữa các đối tượng dữ liệu trong hệ thống.</t>
  </si>
  <si>
    <t>Sau Task 17</t>
  </si>
  <si>
    <t>Thiết kế cấu trúc cơ sở dữ liệu phục vụ việc lưu trữ và quản lý thông tin du học sinh và các nghiệp vụ liên quan.</t>
  </si>
  <si>
    <t>Sau Task 18</t>
  </si>
  <si>
    <t>Xây dựng các bảng dữ liệu, khóa chính, khóa ngoại và các ràng buộc nhằm bảo đảm tính toàn vẹn dữ liệu.</t>
  </si>
  <si>
    <t>Sau Task 19</t>
  </si>
  <si>
    <t>Thiết kế màn hình đăng nhập, nhập thông tin tài khoản và các thông báo khi đăng nhập không hợp lệ.</t>
  </si>
  <si>
    <t>Thiết kế UI/UX hệ thống </t>
  </si>
  <si>
    <t>Sau Task 20</t>
  </si>
  <si>
    <t>Thiết kế màn hình thêm, sửa, xóa, xem và tìm kiếm thông tin hồ sơ du học sinh.</t>
  </si>
  <si>
    <t>Thiết kế giao diện quản lý thông tin Visa, thời hạn Visa, học phí, hóa đơn và tình trạng thanh toán.</t>
  </si>
  <si>
    <t>Thiết kế màn hình tổng quan hiển thị các số liệu thống kê về sinh viên, Visa, tài chính và các thông tin cần theo dõi.</t>
  </si>
  <si>
    <t>D. XÂY DỰNG CHƯƠNG TRÌNH</t>
  </si>
  <si>
    <t>Xây dựng chức năng đăng nhập, xác thực tài khoản và phân quyền truy cập theo vai trò người sử dụng.</t>
  </si>
  <si>
    <t>Prototype UI/UX 1 số màn hình </t>
  </si>
  <si>
    <t>25/12/2026-01/03/2027</t>
  </si>
  <si>
    <t>Xây dựng chức năng tạo, cập nhật, khóa/mở khóa và quản lý tài khoản của nhân viên trung tâm.</t>
  </si>
  <si>
    <t>Xây dựng chức năng thêm, sửa, xóa, xem và quản lý thông tin cá nhân, liên hệ và hồ sơ của du học sinh.</t>
  </si>
  <si>
    <t>Xây dựng chức năng lưu trữ và cập nhật thông tin người thân, mối quan hệ và thông tin liên hệ của du học sinh.</t>
  </si>
  <si>
    <t>Xây dựng chức năng quản lý hộ chiếu, loại Visa, ngày cấp, ngày hết hạn, tình trạng và kết quả Visa của du học sinh.</t>
  </si>
  <si>
    <t>Xây dựng chức năng thêm, sửa, xóa và quản lý thông tin các trường đại học, quốc gia và ngành học liên quan.</t>
  </si>
  <si>
    <t>Xây dựng chức năng tìm kiếm và tra cứu thông tin du học sinh theo các tiêu chí phù hợp.</t>
  </si>
  <si>
    <t>Xây dựng chức năng tìm kiếm và tra cứu trường đại học theo quốc gia, trường hoặc các thông tin liên quan.</t>
  </si>
  <si>
    <t>Xây dựng chức năng quản lý thông tin học tập, chương trình học và kết quả học tập của du học sinh.</t>
  </si>
  <si>
    <t>Xây dựng chức năng cập nhật GPA, tính toán kết quả và hỗ trợ phân loại kết quả học tập của sinh viên.</t>
  </si>
  <si>
    <t>Xây dựng chức năng quản lý thông tin học bổng, điều kiện, kết quả và tình trạng học bổng của du học sinh.</t>
  </si>
  <si>
    <t>Xây dựng chức năng quản lý học phí, hóa đơn, các khoản thanh toán và tình trạng thanh toán của du học sinh.</t>
  </si>
  <si>
    <t>Xây dựng chức năng tổng hợp và hiển thị số liệu thống kê về sinh viên, Visa, học phí và các thông tin quản lý khác.</t>
  </si>
  <si>
    <t>E. TÍCH HỢP &amp; KIỂM THỬ</t>
  </si>
  <si>
    <t>Kết nối các module đã xây dựng, bảo đảm dữ liệu và chức năng hoạt động thống nhất trong toàn hệ thống.</t>
  </si>
  <si>
    <t>Báo cáo kiểm thử</t>
  </si>
  <si>
    <t>01/02/2027-15/03/2027</t>
  </si>
  <si>
    <t>Sau Task 37</t>
  </si>
  <si>
    <t>Kiểm tra chức năng đăng nhập, xác thực tài khoản, phân quyền và khả năng truy cập chức năng theo từng vai trò.</t>
  </si>
  <si>
    <t>Sau Task 25</t>
  </si>
  <si>
    <t>Kiểm tra các chức năng thêm, sửa, xóa, xem và tìm kiếm hồ sơ du học sinh, đồng thời kiểm tra tính chính xác của dữ liệu.</t>
  </si>
  <si>
    <t>Sau Task 28</t>
  </si>
  <si>
    <t>Kiểm tra chức năng quản lý Visa, thời hạn Visa, hồ sơ học thuật và cập nhật kết quả học tập.</t>
  </si>
  <si>
    <t>Sau Task 34</t>
  </si>
  <si>
    <t>Kiểm tra chức năng quản lý học phí, hóa đơn, trạng thái thanh toán và thông tin học bổng.</t>
  </si>
  <si>
    <t>Sau Task 36</t>
  </si>
  <si>
    <t>Kiểm tra số liệu, bộ lọc và nội dung hiển thị trên Dashboard, bảo đảm số liệu thống kê chính xác với dữ liệu thực tế.</t>
  </si>
  <si>
    <t>Thực hiện kiểm thử tổng thể các chức năng và luồng nghiệp vụ nhằm phát hiện lỗi khi các module hoạt động cùng nhau.</t>
  </si>
  <si>
    <t>Sau Task 38</t>
  </si>
  <si>
    <t>Phân tích nguyên nhân, sửa các lỗi phát hiện trong quá trình kiểm thử và hoàn thiện hệ thống trước khi nghiệm thu.</t>
  </si>
  <si>
    <t>Sau Task 44</t>
  </si>
  <si>
    <t>F. TRIỂN KHAI &amp; BÀN GIAO</t>
  </si>
  <si>
    <t>Chuẩn bị máy chủ, cơ sở dữ liệu, cấu hình ứng dụng và các thành phần cần thiết để triển khai hệ thống.</t>
  </si>
  <si>
    <t>Báo cáo hệ thống</t>
  </si>
  <si>
    <t>15/03/2027-31/03/2027</t>
  </si>
  <si>
    <t>Sau Task 45</t>
  </si>
  <si>
    <t>Cài đặt và đưa hệ thống quản lý du học sinh FlyHigh vào môi trường sử dụng thực tế.</t>
  </si>
  <si>
    <t>Biên bản nghiệm thu</t>
  </si>
  <si>
    <t>Sau Task 46</t>
  </si>
  <si>
    <t>Xây dựng tài liệu hướng dẫn cài đặt, đăng nhập và sử dụng các chức năng chính của hệ thống.</t>
  </si>
  <si>
    <t>Tài liệu hướng dẫn</t>
  </si>
  <si>
    <t>Sau Task 47</t>
  </si>
  <si>
    <t>Tổng hợp kết quả thực hiện, kết quả kiểm thử và lập báo cáo phục vụ quá trình nghiệm thu hệ thống.</t>
  </si>
  <si>
    <t>Báo cáo nghiệm thu</t>
  </si>
  <si>
    <t>Sau Task 48</t>
  </si>
  <si>
    <t>Hướng dẫn nhân viên sử dụng hệ thống, giải thích các chức năng chính và hỗ trợ người dùng trong quá trình tiếp nhận hệ thống.</t>
  </si>
  <si>
    <t>Xác nhận bàn giao</t>
  </si>
  <si>
    <t>Sau Task 49</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</si>
</sst>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_(* #,##0_);_(* \(#,##0\);_(* &quot;-&quot;??_);_(@_)"/>
    <numFmt numFmtId="165" formatCode="#,##0\ "/>
    <numFmt numFmtId="166" formatCode="_(* #,##0_);_(* \(#,##0\);_(* &quot;-&quot;?_);_(@_)"/>
    <numFmt numFmtId="167" formatCode="_(* #,##0.00_);_(* \(#,##0.00\);_(* &quot;-&quot;??.00_);_(@_)"/>
  </numFmts>
  <fonts count="14">
    <font>
      <sz val="11.0"/>
      <color theme="1"/>
      <name val="Calibri"/>
      <scheme val="minor"/>
    </font>
    <font>
      <b/>
      <sz val="11.0"/>
      <color rgb="FFFFFFFF"/>
      <name val="Times New Roman"/>
    </font>
    <font>
      <b/>
      <sz val="12.0"/>
      <color theme="1"/>
      <name val="Times New Roman"/>
    </font>
    <font>
      <b/>
      <sz val="12.0"/>
      <color rgb="FF000000"/>
      <name val="Times New Roman"/>
    </font>
    <font>
      <sz val="12.0"/>
      <color theme="1"/>
      <name val="Times New Roman"/>
    </font>
    <font>
      <sz val="12.0"/>
      <color theme="1"/>
      <name val="Calibri"/>
      <scheme val="minor"/>
    </font>
    <font>
      <i/>
      <sz val="11.0"/>
      <color theme="1"/>
      <name val="Times New Roman"/>
    </font>
    <font>
      <i/>
      <sz val="11.0"/>
      <color rgb="FFFF0000"/>
      <name val="Times New Roman"/>
    </font>
    <font>
      <sz val="11.0"/>
      <color theme="1"/>
      <name val="Times New Roman"/>
    </font>
    <font/>
    <font>
      <b/>
      <sz val="11.0"/>
      <color theme="1"/>
      <name val="Times New Roman"/>
    </font>
    <font>
      <i/>
      <sz val="12.0"/>
      <color theme="1"/>
      <name val="Times New Roman"/>
    </font>
    <font>
      <sz val="11.0"/>
      <color theme="1"/>
      <name val="Verdana"/>
    </font>
    <font>
      <sz val="11.0"/>
      <color rgb="FF000000"/>
      <name val="Times New Roman"/>
    </font>
  </fonts>
  <fills count="5">
    <fill>
      <patternFill patternType="none"/>
    </fill>
    <fill>
      <patternFill patternType="lightGray"/>
    </fill>
    <fill>
      <patternFill patternType="solid">
        <fgColor rgb="FF0B5394"/>
        <bgColor rgb="FF0B5394"/>
      </patternFill>
    </fill>
    <fill>
      <patternFill patternType="solid">
        <fgColor rgb="FFFFFF00"/>
        <bgColor rgb="FFFFFF00"/>
      </patternFill>
    </fill>
    <fill>
      <patternFill patternType="solid">
        <fgColor rgb="FF3D85C6"/>
        <bgColor rgb="FF3D85C6"/>
      </patternFill>
    </fill>
  </fills>
  <borders count="37">
    <border/>
    <border>
      <left style="medium">
        <color rgb="FF000000"/>
      </left>
      <right style="dotted">
        <color rgb="FF000000"/>
      </right>
      <top style="medium">
        <color rgb="FF000000"/>
      </top>
      <bottom style="dotted">
        <color rgb="FF000000"/>
      </bottom>
    </border>
    <border>
      <left style="dotted">
        <color rgb="FF000000"/>
      </left>
      <right style="dotted">
        <color rgb="FF000000"/>
      </right>
      <top style="medium">
        <color rgb="FF000000"/>
      </top>
      <bottom style="dotted">
        <color rgb="FF000000"/>
      </bottom>
    </border>
    <border>
      <left style="thin">
        <color rgb="FF000000"/>
      </left>
      <right style="thin">
        <color rgb="FF000000"/>
      </right>
      <top style="thin">
        <color rgb="FF000000"/>
      </top>
      <bottom style="thin">
        <color rgb="FF000000"/>
      </bottom>
    </border>
    <border>
      <left style="dotted">
        <color rgb="FF000000"/>
      </left>
      <right style="medium">
        <color rgb="FF000000"/>
      </right>
      <top style="medium">
        <color rgb="FF000000"/>
      </top>
      <bottom style="dotted">
        <color rgb="FF000000"/>
      </bottom>
    </border>
    <border>
      <right/>
      <top/>
      <bottom/>
    </border>
    <border>
      <left/>
      <right/>
      <top/>
      <bottom/>
    </border>
    <border>
      <bottom style="thin">
        <color rgb="FFFFFFFF"/>
      </bottom>
    </border>
    <border>
      <left style="medium">
        <color rgb="FF000000"/>
      </left>
      <top style="dotted">
        <color rgb="FF000000"/>
      </top>
      <bottom style="dotted">
        <color rgb="FF000000"/>
      </bottom>
    </border>
    <border>
      <top style="dotted">
        <color rgb="FF000000"/>
      </top>
      <bottom style="dotted">
        <color rgb="FF000000"/>
      </bottom>
    </border>
    <border>
      <right style="dotted">
        <color rgb="FF000000"/>
      </right>
      <top style="dotted">
        <color rgb="FF000000"/>
      </top>
      <bottom style="dotted">
        <color rgb="FF000000"/>
      </bottom>
    </border>
    <border>
      <left style="dotted">
        <color rgb="FF000000"/>
      </left>
      <right style="dotted">
        <color rgb="FF000000"/>
      </right>
      <top style="dotted">
        <color rgb="FF000000"/>
      </top>
      <bottom style="dotted">
        <color rgb="FF000000"/>
      </bottom>
    </border>
    <border>
      <left style="dotted">
        <color rgb="FF000000"/>
      </left>
      <right style="medium">
        <color rgb="FF000000"/>
      </right>
      <top style="dotted">
        <color rgb="FF000000"/>
      </top>
      <bottom style="dotted">
        <color rgb="FF000000"/>
      </bottom>
    </border>
    <border>
      <top style="thin">
        <color rgb="FFFFFFFF"/>
      </top>
      <bottom style="thin">
        <color rgb="FFFFFFFF"/>
      </bottom>
    </border>
    <border>
      <left style="medium">
        <color rgb="FF000000"/>
      </left>
      <right style="dotted">
        <color rgb="FF000000"/>
      </right>
      <top style="dotted">
        <color rgb="FF000000"/>
      </top>
      <bottom style="dotted">
        <color rgb="FF000000"/>
      </bottom>
    </border>
    <border>
      <left style="dotted">
        <color rgb="FF000000"/>
      </left>
      <right style="dotted">
        <color rgb="FF000000"/>
      </right>
      <top style="dotted">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FFFFFF"/>
      </right>
      <bottom style="thin">
        <color rgb="FFFFFFFF"/>
      </bottom>
    </border>
    <border>
      <left style="thin">
        <color rgb="FFFFFFFF"/>
      </left>
      <right style="thin">
        <color rgb="FFFFFFFF"/>
      </right>
      <bottom style="thin">
        <color rgb="FFFFFFFF"/>
      </bottom>
    </border>
    <border>
      <left style="thin">
        <color rgb="FFFFFFFF"/>
      </left>
      <top style="thin">
        <color rgb="FFFFFFFF"/>
      </top>
      <bottom style="thin">
        <color rgb="FFFFFFFF"/>
      </bottom>
    </border>
    <border>
      <left style="dotted">
        <color rgb="FF000000"/>
      </left>
      <right style="dotted">
        <color rgb="FF000000"/>
      </right>
    </border>
    <border>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dotted">
        <color rgb="FF000000"/>
      </left>
      <right style="dotted">
        <color rgb="FF000000"/>
      </right>
      <bottom style="dotted">
        <color rgb="FF000000"/>
      </bottom>
    </border>
    <border>
      <left style="medium">
        <color rgb="FF000000"/>
      </left>
      <right style="dotted">
        <color rgb="FF000000"/>
      </right>
      <top style="dotted">
        <color rgb="FF000000"/>
      </top>
    </border>
    <border>
      <left style="medium">
        <color rgb="FF000000"/>
      </left>
      <right style="dotted">
        <color rgb="FF000000"/>
      </right>
    </border>
    <border>
      <left style="medium">
        <color rgb="FF000000"/>
      </left>
      <right style="dotted">
        <color rgb="FF000000"/>
      </right>
      <bottom style="dotted">
        <color rgb="FF000000"/>
      </bottom>
    </border>
    <border>
      <left style="medium">
        <color rgb="FF000000"/>
      </left>
      <right style="dotted">
        <color rgb="FF000000"/>
      </right>
      <top style="dotted">
        <color rgb="FF000000"/>
      </top>
      <bottom style="medium">
        <color rgb="FF000000"/>
      </bottom>
    </border>
    <border>
      <left style="dotted">
        <color rgb="FF000000"/>
      </left>
      <right style="dotted">
        <color rgb="FF000000"/>
      </right>
      <top style="dotted">
        <color rgb="FF000000"/>
      </top>
      <bottom style="medium">
        <color rgb="FF000000"/>
      </bottom>
    </border>
    <border>
      <left style="dotted">
        <color rgb="FF000000"/>
      </left>
      <right style="dotted">
        <color rgb="FF000000"/>
      </right>
      <bottom style="medium">
        <color rgb="FF000000"/>
      </bottom>
    </border>
    <border>
      <left style="dotted">
        <color rgb="FF000000"/>
      </left>
      <right style="medium">
        <color rgb="FF000000"/>
      </right>
      <top style="dotted">
        <color rgb="FF000000"/>
      </top>
      <bottom style="medium">
        <color rgb="FF000000"/>
      </bottom>
    </border>
    <border>
      <left style="thin">
        <color rgb="FFFFFFFF"/>
      </left>
      <bottom style="thin">
        <color rgb="FFFFFFFF"/>
      </bottom>
    </border>
    <border>
      <right style="thin">
        <color rgb="FFFFFFFF"/>
      </right>
      <top style="thin">
        <color rgb="FFFFFFFF"/>
      </top>
    </border>
    <border>
      <left style="thin">
        <color rgb="FFFFFFFF"/>
      </left>
      <right style="thin">
        <color rgb="FFFFFFFF"/>
      </right>
      <top style="thin">
        <color rgb="FFFFFFFF"/>
      </top>
    </border>
    <border>
      <left style="thin">
        <color rgb="FFFFFFFF"/>
      </left>
      <top style="thin">
        <color rgb="FFFFFFFF"/>
      </top>
    </border>
  </borders>
  <cellStyleXfs count="1">
    <xf borderId="0" fillId="0" fontId="0" numFmtId="0" applyAlignment="1" applyFont="1"/>
  </cellStyleXfs>
  <cellXfs count="13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Alignment="1" applyFont="1">
      <alignment horizontal="center" vertical="bottom"/>
    </xf>
    <xf borderId="2" fillId="2" fontId="1" numFmtId="0" xfId="0" applyAlignment="1" applyBorder="1" applyFill="1" applyFont="1">
      <alignment horizontal="center" shrinkToFit="0" vertical="center" wrapText="1"/>
    </xf>
    <xf borderId="0" fillId="0" fontId="3" numFmtId="0" xfId="0" applyAlignment="1" applyFont="1">
      <alignment horizontal="center" readingOrder="0" shrinkToFit="0" vertical="center" wrapText="1"/>
    </xf>
    <xf borderId="0" fillId="0" fontId="4" numFmtId="0" xfId="0" applyAlignment="1" applyFont="1">
      <alignment vertical="bottom"/>
    </xf>
    <xf borderId="0" fillId="0" fontId="2" numFmtId="0" xfId="0" applyAlignment="1" applyFont="1">
      <alignment horizontal="center" readingOrder="0" shrinkToFit="0" wrapText="1"/>
    </xf>
    <xf borderId="0" fillId="0" fontId="4" numFmtId="0" xfId="0" applyFont="1"/>
    <xf borderId="0" fillId="0" fontId="4" numFmtId="0" xfId="0" applyAlignment="1" applyFont="1">
      <alignment vertical="center"/>
    </xf>
    <xf borderId="0" fillId="0" fontId="2" numFmtId="0" xfId="0" applyAlignment="1" applyFont="1">
      <alignment vertical="bottom"/>
    </xf>
    <xf borderId="0" fillId="0" fontId="2" numFmtId="0" xfId="0" applyFont="1"/>
    <xf borderId="0" fillId="0" fontId="4" numFmtId="0" xfId="0" applyAlignment="1" applyFont="1">
      <alignment readingOrder="0" vertical="bottom"/>
    </xf>
    <xf borderId="0" fillId="0" fontId="5" numFmtId="0" xfId="0" applyFont="1"/>
    <xf borderId="2" fillId="2" fontId="1" numFmtId="0" xfId="0" applyAlignment="1" applyBorder="1" applyFill="1" applyFont="1">
      <alignment horizontal="center" readingOrder="0" shrinkToFit="0" vertical="center" wrapText="1"/>
    </xf>
    <xf borderId="0" fillId="0" fontId="3" numFmtId="0" xfId="0" applyAlignment="1" applyFont="1">
      <alignment vertical="center"/>
    </xf>
    <xf borderId="3" fillId="0" fontId="2" numFmtId="0" xfId="0" applyAlignment="1" applyBorder="1" applyFont="1">
      <alignment vertical="bottom"/>
    </xf>
    <xf borderId="4" fillId="2" fontId="1" numFmtId="0" xfId="0" applyAlignment="1" applyBorder="1" applyFill="1" applyFont="1">
      <alignment horizontal="center" shrinkToFit="0" vertical="center" wrapText="1"/>
    </xf>
    <xf borderId="0" fillId="0" fontId="3" numFmtId="164" xfId="0" applyAlignment="1" applyFont="1" applyNumberFormat="1">
      <alignment vertical="center"/>
    </xf>
    <xf borderId="5" fillId="3" fontId="6" numFmtId="0" xfId="0" applyAlignment="1" applyBorder="1" applyFill="1" applyFont="1">
      <alignment horizontal="left" shrinkToFit="0" vertical="center" wrapText="1"/>
    </xf>
    <xf borderId="0" fillId="0" fontId="3" numFmtId="0" xfId="0" applyAlignment="1" applyFont="1">
      <alignment shrinkToFit="0" vertical="center" wrapText="1"/>
    </xf>
    <xf borderId="3" fillId="0" fontId="2" numFmtId="0" xfId="0" applyAlignment="1" applyBorder="1" applyFont="1">
      <alignment readingOrder="0" vertical="bottom"/>
    </xf>
    <xf borderId="0" fillId="0" fontId="3" numFmtId="0" xfId="0" applyAlignment="1" applyFont="1">
      <alignment horizontal="left" shrinkToFit="0" vertical="center" wrapText="1"/>
    </xf>
    <xf borderId="6" fillId="3" fontId="7" numFmtId="164" xfId="0" applyAlignment="1" applyBorder="1" applyFill="1" applyFont="1" applyNumberFormat="1">
      <alignment horizontal="left" shrinkToFit="0" vertical="center" wrapText="1"/>
    </xf>
    <xf borderId="0" fillId="0" fontId="4" numFmtId="0" xfId="0" applyFont="1"/>
    <xf borderId="7" fillId="0" fontId="8" numFmtId="0" xfId="0" applyAlignment="1" applyBorder="1" applyFont="1">
      <alignment shrinkToFit="0" wrapText="1"/>
    </xf>
    <xf borderId="3" fillId="0" fontId="4" numFmtId="0" xfId="0" applyAlignment="1" applyBorder="1" applyFont="1">
      <alignment horizontal="right" vertical="bottom"/>
    </xf>
    <xf borderId="3" fillId="0" fontId="2" numFmtId="0" xfId="0" applyAlignment="1" applyBorder="1" applyFont="1">
      <alignment horizontal="center" shrinkToFit="0" vertical="center" wrapText="1"/>
    </xf>
    <xf borderId="3" fillId="0" fontId="4" numFmtId="0" xfId="0" applyAlignment="1" applyBorder="1" applyFont="1">
      <alignment vertical="bottom"/>
    </xf>
    <xf borderId="8" fillId="4" fontId="1" numFmtId="0" xfId="0" applyAlignment="1" applyBorder="1" applyFill="1" applyFont="1">
      <alignment horizontal="left" readingOrder="1" shrinkToFit="0" wrapText="1"/>
    </xf>
    <xf borderId="3" fillId="0" fontId="4" numFmtId="0" xfId="0" applyBorder="1" applyFont="1"/>
    <xf borderId="9" fillId="0" fontId="9" numFmtId="0" xfId="0" applyBorder="1" applyFont="1"/>
    <xf borderId="0" fillId="0" fontId="2" numFmtId="0" xfId="0" applyFont="1"/>
    <xf borderId="10" fillId="0" fontId="9" numFmtId="0" xfId="0" applyBorder="1" applyFont="1"/>
    <xf borderId="3" fillId="0" fontId="4" numFmtId="0" xfId="0" applyAlignment="1" applyBorder="1" applyFont="1">
      <alignment horizontal="left" vertical="center"/>
    </xf>
    <xf borderId="11" fillId="0" fontId="10" numFmtId="0" xfId="0" applyAlignment="1" applyBorder="1" applyFont="1">
      <alignment horizontal="left" shrinkToFit="0" vertical="center" wrapText="1"/>
    </xf>
    <xf borderId="11" fillId="0" fontId="10" numFmtId="0" xfId="0" applyAlignment="1" applyBorder="1" applyFont="1">
      <alignment horizontal="center" shrinkToFit="0" vertical="center" wrapText="1"/>
    </xf>
    <xf borderId="0" fillId="0" fontId="4" numFmtId="164" xfId="0" applyFont="1" applyNumberFormat="1"/>
    <xf borderId="12" fillId="0" fontId="10" numFmtId="0" xfId="0" applyAlignment="1" applyBorder="1" applyFont="1">
      <alignment horizontal="left" shrinkToFit="0" vertical="center" wrapText="1"/>
    </xf>
    <xf borderId="13" fillId="0" fontId="8" numFmtId="0" xfId="0" applyAlignment="1" applyBorder="1" applyFont="1">
      <alignment shrinkToFit="0" wrapText="1"/>
    </xf>
    <xf borderId="14" fillId="0" fontId="8" numFmtId="0" xfId="0" applyAlignment="1" applyBorder="1" applyFont="1">
      <alignment horizontal="center" shrinkToFit="0" vertical="center" wrapText="1"/>
    </xf>
    <xf borderId="11" fillId="0" fontId="8" numFmtId="0" xfId="0" applyAlignment="1" applyBorder="1" applyFont="1">
      <alignment horizontal="left" readingOrder="1" shrinkToFit="0" vertical="center" wrapText="1"/>
    </xf>
    <xf borderId="3" fillId="0" fontId="2" numFmtId="0" xfId="0" applyAlignment="1" applyBorder="1" applyFont="1">
      <alignment readingOrder="0" shrinkToFit="0" vertical="center" wrapText="1"/>
    </xf>
    <xf borderId="11" fillId="0" fontId="8" numFmtId="0" xfId="0" applyAlignment="1" applyBorder="1" applyFont="1">
      <alignment horizontal="left" shrinkToFit="0" vertical="center" wrapText="1"/>
    </xf>
    <xf borderId="15" fillId="0" fontId="8" numFmtId="0" xfId="0" applyAlignment="1" applyBorder="1" applyFont="1">
      <alignment horizontal="left" readingOrder="1" shrinkToFit="0" vertical="center" wrapText="1"/>
    </xf>
    <xf borderId="11" fillId="0" fontId="8" numFmtId="0" xfId="0" applyAlignment="1" applyBorder="1" applyFont="1">
      <alignment horizontal="left" readingOrder="0" shrinkToFit="0" vertical="center" wrapText="1"/>
    </xf>
    <xf borderId="11" fillId="0" fontId="8" numFmtId="2" xfId="0" applyAlignment="1" applyBorder="1" applyFont="1" applyNumberFormat="1">
      <alignment horizontal="right" vertical="center"/>
    </xf>
    <xf borderId="16" fillId="0" fontId="2" numFmtId="0" xfId="0" applyAlignment="1" applyBorder="1" applyFont="1">
      <alignment readingOrder="0" shrinkToFit="0" vertical="center" wrapText="1"/>
    </xf>
    <xf borderId="3" fillId="0" fontId="4" numFmtId="164" xfId="0" applyAlignment="1" applyBorder="1" applyFont="1" applyNumberFormat="1">
      <alignment horizontal="center" vertical="bottom"/>
    </xf>
    <xf borderId="3" fillId="0" fontId="4" numFmtId="2" xfId="0" applyAlignment="1" applyBorder="1" applyFont="1" applyNumberFormat="1">
      <alignment readingOrder="0"/>
    </xf>
    <xf borderId="17" fillId="0" fontId="9" numFmtId="0" xfId="0" applyBorder="1" applyFont="1"/>
    <xf borderId="17" fillId="0" fontId="2" numFmtId="0" xfId="0" applyAlignment="1" applyBorder="1" applyFont="1">
      <alignment readingOrder="0" shrinkToFit="0" vertical="center" wrapText="1"/>
    </xf>
    <xf borderId="18" fillId="0" fontId="2" numFmtId="0" xfId="0" applyAlignment="1" applyBorder="1" applyFont="1">
      <alignment shrinkToFit="0" vertical="center" wrapText="1"/>
    </xf>
    <xf borderId="3" fillId="0" fontId="4" numFmtId="165" xfId="0" applyAlignment="1" applyBorder="1" applyFont="1" applyNumberFormat="1">
      <alignment horizontal="right" vertical="bottom"/>
    </xf>
    <xf borderId="3" fillId="0" fontId="4" numFmtId="164" xfId="0" applyBorder="1" applyFont="1" applyNumberFormat="1"/>
    <xf borderId="3" fillId="0" fontId="4" numFmtId="0" xfId="0" applyAlignment="1" applyBorder="1" applyFont="1">
      <alignment horizontal="right" readingOrder="0" vertical="center"/>
    </xf>
    <xf borderId="11" fillId="0" fontId="8" numFmtId="164" xfId="0" applyAlignment="1" applyBorder="1" applyFont="1" applyNumberFormat="1">
      <alignment horizontal="left" shrinkToFit="0" vertical="center" wrapText="1"/>
    </xf>
    <xf borderId="3" fillId="0" fontId="4" numFmtId="0" xfId="0" applyAlignment="1" applyBorder="1" applyFont="1">
      <alignment readingOrder="0" vertical="center"/>
    </xf>
    <xf borderId="3" fillId="0" fontId="4" numFmtId="3" xfId="0" applyAlignment="1" applyBorder="1" applyFont="1" applyNumberFormat="1">
      <alignment horizontal="right" readingOrder="0" vertical="center"/>
    </xf>
    <xf borderId="3" fillId="0" fontId="4" numFmtId="0" xfId="0" applyAlignment="1" applyBorder="1" applyFont="1">
      <alignment vertical="center"/>
    </xf>
    <xf borderId="12" fillId="0" fontId="8" numFmtId="166" xfId="0" applyAlignment="1" applyBorder="1" applyFont="1" applyNumberFormat="1">
      <alignment horizontal="left" shrinkToFit="0" vertical="center" wrapText="1"/>
    </xf>
    <xf borderId="19" fillId="0" fontId="8" numFmtId="166" xfId="0" applyAlignment="1" applyBorder="1" applyFont="1" applyNumberFormat="1">
      <alignment horizontal="left" shrinkToFit="0" vertical="center" wrapText="1"/>
    </xf>
    <xf borderId="0" fillId="0" fontId="4" numFmtId="164" xfId="0" applyAlignment="1" applyFont="1" applyNumberFormat="1">
      <alignment horizontal="center" vertical="bottom"/>
    </xf>
    <xf borderId="20" fillId="0" fontId="8" numFmtId="0" xfId="0" applyAlignment="1" applyBorder="1" applyFont="1">
      <alignment horizontal="left" shrinkToFit="0" vertical="center" wrapText="1"/>
    </xf>
    <xf borderId="0" fillId="0" fontId="11" numFmtId="0" xfId="0" applyAlignment="1" applyFont="1">
      <alignment readingOrder="0" vertical="bottom"/>
    </xf>
    <xf borderId="21" fillId="0" fontId="8" numFmtId="0" xfId="0" applyAlignment="1" applyBorder="1" applyFont="1">
      <alignment shrinkToFit="0" wrapText="1"/>
    </xf>
    <xf borderId="22" fillId="0" fontId="9" numFmtId="0" xfId="0" applyBorder="1" applyFont="1"/>
    <xf borderId="0" fillId="0" fontId="4" numFmtId="0" xfId="0" applyAlignment="1" applyFont="1">
      <alignment horizontal="center" readingOrder="0" vertical="bottom"/>
    </xf>
    <xf borderId="23" fillId="0" fontId="8" numFmtId="166" xfId="0" applyAlignment="1" applyBorder="1" applyFont="1" applyNumberFormat="1">
      <alignment horizontal="left" shrinkToFit="0" vertical="center" wrapText="1"/>
    </xf>
    <xf borderId="24" fillId="0" fontId="8" numFmtId="0" xfId="0" applyAlignment="1" applyBorder="1" applyFont="1">
      <alignment horizontal="left" shrinkToFit="0" vertical="center" wrapText="1"/>
    </xf>
    <xf borderId="16" fillId="0" fontId="2" numFmtId="0" xfId="0" applyAlignment="1" applyBorder="1" applyFont="1">
      <alignment horizontal="right" readingOrder="0" vertical="center"/>
    </xf>
    <xf borderId="17" fillId="0" fontId="2" numFmtId="0" xfId="0" applyAlignment="1" applyBorder="1" applyFont="1">
      <alignment horizontal="right" readingOrder="0" vertical="center"/>
    </xf>
    <xf borderId="18" fillId="0" fontId="2" numFmtId="0" xfId="0" applyAlignment="1" applyBorder="1" applyFont="1">
      <alignment horizontal="right" readingOrder="0" vertical="center"/>
    </xf>
    <xf borderId="3" fillId="0" fontId="2" numFmtId="165" xfId="0" applyAlignment="1" applyBorder="1" applyFont="1" applyNumberFormat="1">
      <alignment horizontal="right" readingOrder="0" vertical="center"/>
    </xf>
    <xf borderId="3" fillId="0" fontId="4" numFmtId="167" xfId="0" applyBorder="1" applyFont="1" applyNumberFormat="1"/>
    <xf borderId="0" fillId="0" fontId="11" numFmtId="0" xfId="0" applyAlignment="1" applyFont="1">
      <alignment vertical="bottom"/>
    </xf>
    <xf borderId="3" fillId="0" fontId="2" numFmtId="164" xfId="0" applyBorder="1" applyFont="1" applyNumberFormat="1"/>
    <xf borderId="0" fillId="0" fontId="2" numFmtId="164" xfId="0" applyFont="1" applyNumberFormat="1"/>
    <xf borderId="0" fillId="0" fontId="11" numFmtId="0" xfId="0" applyAlignment="1" applyFont="1">
      <alignment readingOrder="0"/>
    </xf>
    <xf borderId="0" fillId="0" fontId="2" numFmtId="0" xfId="0" applyAlignment="1" applyFont="1">
      <alignment horizontal="center" readingOrder="0" shrinkToFit="0" vertical="center" wrapText="1"/>
    </xf>
    <xf borderId="0" fillId="0" fontId="4" numFmtId="0" xfId="0" applyAlignment="1" applyFont="1">
      <alignment horizontal="center" readingOrder="0"/>
    </xf>
    <xf borderId="0" fillId="0" fontId="2" numFmtId="0" xfId="0" applyAlignment="1" applyFont="1">
      <alignment horizontal="center" readingOrder="0" vertical="center"/>
    </xf>
    <xf borderId="0" fillId="0" fontId="2" numFmtId="0" xfId="0" applyAlignment="1" applyFont="1">
      <alignment horizontal="center" readingOrder="0"/>
    </xf>
    <xf borderId="0" fillId="0" fontId="11" numFmtId="0" xfId="0" applyAlignment="1" applyFont="1">
      <alignment horizontal="center" readingOrder="0"/>
    </xf>
    <xf borderId="0" fillId="0" fontId="2" numFmtId="0" xfId="0" applyAlignment="1" applyFont="1">
      <alignment vertical="center"/>
    </xf>
    <xf borderId="0" fillId="0" fontId="4" numFmtId="0" xfId="0" applyAlignment="1" applyFont="1">
      <alignment shrinkToFit="0" vertical="center" wrapText="1"/>
    </xf>
    <xf borderId="0" fillId="0" fontId="4" numFmtId="0" xfId="0" applyAlignment="1" applyFont="1">
      <alignment vertical="center"/>
    </xf>
    <xf borderId="0" fillId="0" fontId="4" numFmtId="164" xfId="0" applyAlignment="1" applyFont="1" applyNumberFormat="1">
      <alignment vertical="center"/>
    </xf>
    <xf borderId="25" fillId="0" fontId="9" numFmtId="0" xfId="0" applyBorder="1" applyFont="1"/>
    <xf borderId="3" fillId="0" fontId="2" numFmtId="0" xfId="0" applyAlignment="1" applyBorder="1" applyFont="1">
      <alignment readingOrder="0" vertical="center"/>
    </xf>
    <xf borderId="0" fillId="0" fontId="2" numFmtId="0" xfId="0" applyAlignment="1" applyFont="1">
      <alignment readingOrder="0" vertical="center"/>
    </xf>
    <xf borderId="11" fillId="0" fontId="12" numFmtId="2" xfId="0" applyAlignment="1" applyBorder="1" applyFont="1" applyNumberFormat="1">
      <alignment vertical="center"/>
    </xf>
    <xf borderId="3" fillId="0" fontId="11" numFmtId="0" xfId="0" applyAlignment="1" applyBorder="1" applyFont="1">
      <alignment readingOrder="0" shrinkToFit="0" vertical="center" wrapText="1"/>
    </xf>
    <xf borderId="3" fillId="0" fontId="4" numFmtId="0" xfId="0" applyAlignment="1" applyBorder="1" applyFont="1">
      <alignment shrinkToFit="0" vertical="center" wrapText="1"/>
    </xf>
    <xf borderId="14" fillId="0" fontId="8" numFmtId="0" xfId="0" applyAlignment="1" applyBorder="1" applyFont="1">
      <alignment horizontal="center" readingOrder="1" shrinkToFit="0" vertical="center" wrapText="1"/>
    </xf>
    <xf borderId="3" fillId="0" fontId="4" numFmtId="0" xfId="0" applyAlignment="1" applyBorder="1" applyFont="1">
      <alignment vertical="center"/>
    </xf>
    <xf borderId="11" fillId="0" fontId="13" numFmtId="0" xfId="0" applyAlignment="1" applyBorder="1" applyFont="1">
      <alignment horizontal="left" shrinkToFit="0" vertical="center" wrapText="1"/>
    </xf>
    <xf borderId="3" fillId="0" fontId="4" numFmtId="0" xfId="0" applyAlignment="1" applyBorder="1" applyFont="1">
      <alignment readingOrder="0" shrinkToFit="0" vertical="center" wrapText="1"/>
    </xf>
    <xf borderId="11" fillId="0" fontId="8" numFmtId="0" xfId="0" applyAlignment="1" applyBorder="1" applyFont="1">
      <alignment horizontal="left" readingOrder="1" shrinkToFit="0" vertical="center" wrapText="1"/>
    </xf>
    <xf borderId="3" fillId="0" fontId="4" numFmtId="165" xfId="0" applyAlignment="1" applyBorder="1" applyFont="1" applyNumberFormat="1">
      <alignment horizontal="center" readingOrder="0" vertical="center"/>
    </xf>
    <xf borderId="0" fillId="0" fontId="4" numFmtId="165" xfId="0" applyAlignment="1" applyFont="1" applyNumberFormat="1">
      <alignment horizontal="center" readingOrder="0" vertical="center"/>
    </xf>
    <xf borderId="3" fillId="0" fontId="4" numFmtId="165" xfId="0" applyAlignment="1" applyBorder="1" applyFont="1" applyNumberFormat="1">
      <alignment horizontal="center" vertical="center"/>
    </xf>
    <xf borderId="0" fillId="0" fontId="4" numFmtId="165" xfId="0" applyAlignment="1" applyFont="1" applyNumberFormat="1">
      <alignment horizontal="center" vertical="center"/>
    </xf>
    <xf borderId="3" fillId="0" fontId="4" numFmtId="0" xfId="0" applyAlignment="1" applyBorder="1" applyFont="1">
      <alignment shrinkToFit="0" vertical="center" wrapText="1"/>
    </xf>
    <xf borderId="3" fillId="0" fontId="2" numFmtId="165" xfId="0" applyAlignment="1" applyBorder="1" applyFont="1" applyNumberFormat="1">
      <alignment horizontal="center" readingOrder="0" vertical="center"/>
    </xf>
    <xf borderId="0" fillId="0" fontId="2" numFmtId="165" xfId="0" applyAlignment="1" applyFont="1" applyNumberFormat="1">
      <alignment horizontal="center" readingOrder="0" vertical="center"/>
    </xf>
    <xf borderId="0" fillId="0" fontId="4" numFmtId="165" xfId="0" applyAlignment="1" applyFont="1" applyNumberFormat="1">
      <alignment horizontal="right" vertical="center"/>
    </xf>
    <xf borderId="0" fillId="0" fontId="11" numFmtId="0" xfId="0" applyAlignment="1" applyFont="1">
      <alignment readingOrder="0" vertical="center"/>
    </xf>
    <xf borderId="0" fillId="0" fontId="4" numFmtId="0" xfId="0" applyAlignment="1" applyFont="1">
      <alignment horizontal="center" readingOrder="0" shrinkToFit="0" vertical="center" wrapText="1"/>
    </xf>
    <xf borderId="11" fillId="0" fontId="8" numFmtId="0" xfId="0" applyAlignment="1" applyBorder="1" applyFont="1">
      <alignment horizontal="left" readingOrder="1"/>
    </xf>
    <xf borderId="12" fillId="0" fontId="8" numFmtId="0" xfId="0" applyAlignment="1" applyBorder="1" applyFont="1">
      <alignment horizontal="left" readingOrder="1"/>
    </xf>
    <xf borderId="23" fillId="0" fontId="8" numFmtId="0" xfId="0" applyAlignment="1" applyBorder="1" applyFont="1">
      <alignment horizontal="left" readingOrder="1"/>
    </xf>
    <xf borderId="24" fillId="0" fontId="8" numFmtId="0" xfId="0" applyAlignment="1" applyBorder="1" applyFont="1">
      <alignment horizontal="left" readingOrder="1"/>
    </xf>
    <xf borderId="14" fillId="0" fontId="8" numFmtId="0" xfId="0" applyAlignment="1" applyBorder="1" applyFont="1">
      <alignment horizontal="left" readingOrder="1" shrinkToFit="0" vertical="center" wrapText="1"/>
    </xf>
    <xf borderId="26" fillId="0" fontId="8" numFmtId="0" xfId="0" applyAlignment="1" applyBorder="1" applyFont="1">
      <alignment horizontal="center" readingOrder="1" shrinkToFit="0" vertical="center" wrapText="1"/>
    </xf>
    <xf borderId="15" fillId="0" fontId="8" numFmtId="0" xfId="0" applyAlignment="1" applyBorder="1" applyFont="1">
      <alignment horizontal="left" readingOrder="1" shrinkToFit="0" vertical="center" wrapText="1"/>
    </xf>
    <xf borderId="27" fillId="0" fontId="9" numFmtId="0" xfId="0" applyBorder="1" applyFont="1"/>
    <xf borderId="11" fillId="0" fontId="13" numFmtId="0" xfId="0" applyAlignment="1" applyBorder="1" applyFont="1">
      <alignment horizontal="left" readingOrder="0" shrinkToFit="0" vertical="center" wrapText="1"/>
    </xf>
    <xf borderId="28" fillId="0" fontId="9" numFmtId="0" xfId="0" applyBorder="1" applyFont="1"/>
    <xf borderId="29" fillId="0" fontId="8" numFmtId="0" xfId="0" applyAlignment="1" applyBorder="1" applyFont="1">
      <alignment horizontal="center" readingOrder="1" shrinkToFit="0" vertical="center" wrapText="1"/>
    </xf>
    <xf borderId="30" fillId="0" fontId="8" numFmtId="0" xfId="0" applyAlignment="1" applyBorder="1" applyFont="1">
      <alignment horizontal="left" readingOrder="1" shrinkToFit="0" vertical="center" wrapText="1"/>
    </xf>
    <xf borderId="31" fillId="0" fontId="9" numFmtId="0" xfId="0" applyBorder="1" applyFont="1"/>
    <xf borderId="30" fillId="0" fontId="8" numFmtId="0" xfId="0" applyAlignment="1" applyBorder="1" applyFont="1">
      <alignment horizontal="left" readingOrder="1" shrinkToFit="0" vertical="center" wrapText="1"/>
    </xf>
    <xf borderId="30" fillId="0" fontId="8" numFmtId="2" xfId="0" applyAlignment="1" applyBorder="1" applyFont="1" applyNumberFormat="1">
      <alignment horizontal="right" vertical="center"/>
    </xf>
    <xf borderId="30" fillId="0" fontId="8" numFmtId="164" xfId="0" applyAlignment="1" applyBorder="1" applyFont="1" applyNumberFormat="1">
      <alignment horizontal="left" shrinkToFit="0" vertical="center" wrapText="1"/>
    </xf>
    <xf borderId="32" fillId="0" fontId="8" numFmtId="166" xfId="0" applyAlignment="1" applyBorder="1" applyFont="1" applyNumberFormat="1">
      <alignment horizontal="left" shrinkToFit="0" vertical="center" wrapText="1"/>
    </xf>
    <xf borderId="19" fillId="0" fontId="8" numFmtId="0" xfId="0" applyAlignment="1" applyBorder="1" applyFont="1">
      <alignment shrinkToFit="0" wrapText="1"/>
    </xf>
    <xf borderId="20" fillId="0" fontId="8" numFmtId="0" xfId="0" applyAlignment="1" applyBorder="1" applyFont="1">
      <alignment shrinkToFit="0" wrapText="1"/>
    </xf>
    <xf borderId="33" fillId="0" fontId="8" numFmtId="0" xfId="0" applyAlignment="1" applyBorder="1" applyFont="1">
      <alignment shrinkToFit="0" wrapText="1"/>
    </xf>
    <xf borderId="23" fillId="0" fontId="8" numFmtId="0" xfId="0" applyAlignment="1" applyBorder="1" applyFont="1">
      <alignment shrinkToFit="0" wrapText="1"/>
    </xf>
    <xf borderId="24" fillId="0" fontId="8" numFmtId="0" xfId="0" applyAlignment="1" applyBorder="1" applyFont="1">
      <alignment shrinkToFit="0" wrapText="1"/>
    </xf>
    <xf borderId="34" fillId="0" fontId="8" numFmtId="0" xfId="0" applyAlignment="1" applyBorder="1" applyFont="1">
      <alignment shrinkToFit="0" wrapText="1"/>
    </xf>
    <xf borderId="35" fillId="0" fontId="8" numFmtId="0" xfId="0" applyAlignment="1" applyBorder="1" applyFont="1">
      <alignment shrinkToFit="0" wrapText="1"/>
    </xf>
    <xf borderId="35" fillId="0" fontId="8" numFmtId="0" xfId="0" applyAlignment="1" applyBorder="1" applyFont="1">
      <alignment horizontal="center" shrinkToFit="0" wrapText="1"/>
    </xf>
    <xf borderId="36" fillId="0" fontId="8"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8" Type="http://schemas.openxmlformats.org/officeDocument/2006/relationships/worksheet" Target="worksheets/sheet5.xml"/><Relationship Id="rId3" Type="http://schemas.openxmlformats.org/officeDocument/2006/relationships/sharedStrings" Target="sharedStrings.xml"/><Relationship Id="rId7" Type="http://schemas.openxmlformats.org/officeDocument/2006/relationships/worksheet" Target="worksheets/sheet4.xml"/><Relationship Id="rId12" Type="http://schemas.openxmlformats.org/officeDocument/2006/relationships/customXml" Target="../customXml/item3.xml"/><Relationship Id="rId2" Type="http://schemas.openxmlformats.org/officeDocument/2006/relationships/styles" Target="styles.xml"/><Relationship Id="rId1" Type="http://schemas.openxmlformats.org/officeDocument/2006/relationships/theme" Target="theme/theme1.xml"/><Relationship Id="rId6" Type="http://schemas.openxmlformats.org/officeDocument/2006/relationships/worksheet" Target="worksheets/sheet3.xml"/><Relationship Id="rId11" Type="http://schemas.openxmlformats.org/officeDocument/2006/relationships/customXml" Target="../customXml/item2.xml"/><Relationship Id="rId5" Type="http://schemas.openxmlformats.org/officeDocument/2006/relationships/worksheet" Target="worksheets/sheet2.xml"/><Relationship Id="rId10" Type="http://schemas.openxmlformats.org/officeDocument/2006/relationships/customXml" Target="../customXml/item1.xml"/><Relationship Id="rId4" Type="http://schemas.openxmlformats.org/officeDocument/2006/relationships/worksheet" Target="worksheets/sheet1.xml"/><Relationship Id="rId9"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3.71"/>
    <col customWidth="1" min="2" max="2" width="34.86"/>
    <col customWidth="1" min="3" max="3" width="20.29"/>
  </cols>
  <sheetData>
    <row r="1">
      <c r="A1" s="2" t="s">
        <v>2</v>
      </c>
      <c r="D1" s="5"/>
      <c r="E1" s="7"/>
      <c r="F1" s="7"/>
    </row>
    <row r="2">
      <c r="A2" s="9" t="s">
        <v>10</v>
      </c>
      <c r="B2" s="11" t="s">
        <v>11</v>
      </c>
      <c r="C2" s="5"/>
      <c r="D2" s="5"/>
      <c r="E2" s="7"/>
      <c r="F2" s="7"/>
    </row>
    <row r="3">
      <c r="A3" s="9" t="s">
        <v>12</v>
      </c>
      <c r="B3" s="11" t="s">
        <v>13</v>
      </c>
      <c r="C3" s="5"/>
      <c r="D3" s="5"/>
      <c r="E3" s="7"/>
      <c r="F3" s="7"/>
    </row>
    <row r="4">
      <c r="A4" s="9" t="s">
        <v>14</v>
      </c>
      <c r="B4" s="11" t="s">
        <v>15</v>
      </c>
      <c r="C4" s="5"/>
      <c r="D4" s="5"/>
      <c r="E4" s="7"/>
      <c r="F4" s="7"/>
    </row>
    <row r="5">
      <c r="A5" s="9" t="s">
        <v>17</v>
      </c>
      <c r="B5" s="11" t="s">
        <v>18</v>
      </c>
      <c r="C5" s="5"/>
      <c r="D5" s="5"/>
      <c r="E5" s="7"/>
      <c r="F5" s="7"/>
    </row>
    <row r="6">
      <c r="A6" s="5"/>
      <c r="B6" s="5"/>
      <c r="C6" s="5"/>
      <c r="D6" s="5"/>
      <c r="E6" s="7"/>
      <c r="F6" s="7"/>
    </row>
    <row r="7">
      <c r="A7" s="15" t="s">
        <v>21</v>
      </c>
      <c r="B7" s="15" t="s">
        <v>24</v>
      </c>
      <c r="C7" s="20" t="s">
        <v>25</v>
      </c>
      <c r="D7" s="15" t="s">
        <v>27</v>
      </c>
      <c r="E7" s="7"/>
      <c r="F7" s="7"/>
    </row>
    <row r="8">
      <c r="A8" s="25">
        <v>1.0</v>
      </c>
      <c r="B8" s="27" t="s">
        <v>29</v>
      </c>
      <c r="C8" s="47">
        <f>CongLaoDong!G13</f>
        <v>342865600</v>
      </c>
      <c r="D8" s="27"/>
      <c r="E8" s="7"/>
      <c r="F8" s="7"/>
    </row>
    <row r="9">
      <c r="A9" s="25">
        <v>2.0</v>
      </c>
      <c r="B9" s="27" t="s">
        <v>48</v>
      </c>
      <c r="C9" s="52">
        <f>ThietBiVatTu!F25</f>
        <v>80325000</v>
      </c>
      <c r="D9" s="27"/>
      <c r="E9" s="7"/>
      <c r="F9" s="7"/>
    </row>
    <row r="10">
      <c r="A10" s="25">
        <v>3.0</v>
      </c>
      <c r="B10" s="27" t="s">
        <v>49</v>
      </c>
      <c r="C10" s="52">
        <f>ChiKhac!D26</f>
        <v>51900000</v>
      </c>
      <c r="D10" s="27"/>
      <c r="E10" s="7"/>
      <c r="F10" s="7"/>
    </row>
    <row r="11">
      <c r="A11" s="5"/>
      <c r="B11" s="5" t="s">
        <v>52</v>
      </c>
      <c r="C11" s="61">
        <f>SUM(C8:C10)</f>
        <v>475090600</v>
      </c>
      <c r="D11" s="5"/>
      <c r="E11" s="7"/>
      <c r="F11" s="7"/>
    </row>
    <row r="12">
      <c r="A12" s="63" t="s">
        <v>61</v>
      </c>
      <c r="B12" s="5"/>
      <c r="C12" s="5"/>
      <c r="D12" s="5"/>
      <c r="E12" s="7"/>
      <c r="F12" s="7"/>
    </row>
    <row r="13">
      <c r="A13" s="5"/>
      <c r="B13" s="5"/>
      <c r="C13" s="5"/>
      <c r="D13" s="5"/>
      <c r="E13" s="7"/>
      <c r="F13" s="7"/>
    </row>
    <row r="14">
      <c r="A14" s="5"/>
      <c r="B14" s="5"/>
      <c r="C14" s="5"/>
      <c r="D14" s="5"/>
      <c r="E14" s="7"/>
      <c r="F14" s="7"/>
    </row>
    <row r="15">
      <c r="A15" s="5"/>
      <c r="B15" s="66" t="s">
        <v>67</v>
      </c>
      <c r="E15" s="7"/>
      <c r="F15" s="7"/>
    </row>
    <row r="16">
      <c r="A16" s="5"/>
      <c r="B16" s="2" t="s">
        <v>68</v>
      </c>
      <c r="E16" s="7"/>
      <c r="F16" s="7"/>
    </row>
    <row r="17">
      <c r="A17" s="5"/>
      <c r="B17" s="5"/>
      <c r="C17" s="5"/>
      <c r="D17" s="5"/>
      <c r="E17" s="7"/>
      <c r="F17" s="7"/>
    </row>
    <row r="18">
      <c r="A18" s="5"/>
      <c r="B18" s="5"/>
      <c r="C18" s="5"/>
      <c r="D18" s="5"/>
      <c r="E18" s="7"/>
      <c r="F18" s="7"/>
    </row>
    <row r="19">
      <c r="A19" s="5"/>
      <c r="B19" s="5"/>
      <c r="C19" s="5"/>
      <c r="D19" s="5"/>
      <c r="E19" s="7"/>
      <c r="F19" s="7"/>
    </row>
    <row r="20">
      <c r="A20" s="7"/>
      <c r="B20" s="7"/>
      <c r="C20" s="7"/>
      <c r="D20" s="7"/>
      <c r="E20" s="7"/>
      <c r="F20" s="7"/>
    </row>
  </sheetData>
  <mergeCells count="3">
    <mergeCell ref="A1:C1"/>
    <mergeCell ref="B15:D15"/>
    <mergeCell ref="B16:D1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43"/>
    <col customWidth="1" min="2" max="2" width="43.0"/>
    <col customWidth="1" min="3" max="4" width="22.86"/>
    <col customWidth="1" min="5" max="5" width="19.0"/>
    <col customWidth="1" min="6" max="6" width="19.14"/>
    <col customWidth="1" min="7" max="7" width="20.71"/>
    <col customWidth="1" min="8" max="8" width="10.71"/>
    <col customWidth="1" min="9" max="9" width="14.29"/>
    <col customWidth="1" min="10" max="10" width="12.14"/>
    <col customWidth="1" min="11" max="11" width="14.0"/>
    <col customWidth="1" min="13" max="13" width="8.71"/>
  </cols>
  <sheetData>
    <row r="1">
      <c r="A1" s="1" t="s">
        <v>1</v>
      </c>
      <c r="B1" s="3" t="s">
        <v>4</v>
      </c>
      <c r="C1" s="3" t="s">
        <v>5</v>
      </c>
      <c r="D1" s="3" t="s">
        <v>6</v>
      </c>
      <c r="E1" s="3" t="s">
        <v>7</v>
      </c>
      <c r="F1" s="3" t="s">
        <v>8</v>
      </c>
      <c r="G1" s="3" t="s">
        <v>9</v>
      </c>
      <c r="H1" s="13" t="s">
        <v>16</v>
      </c>
      <c r="I1" s="3" t="s">
        <v>19</v>
      </c>
      <c r="J1" s="16" t="s">
        <v>22</v>
      </c>
      <c r="K1" s="18" t="s">
        <v>26</v>
      </c>
      <c r="L1" s="22">
        <v>2530000.0</v>
      </c>
      <c r="M1" s="24"/>
    </row>
    <row r="2" ht="14.25" customHeight="1">
      <c r="A2" s="28" t="s">
        <v>28</v>
      </c>
      <c r="B2" s="30"/>
      <c r="C2" s="30"/>
      <c r="D2" s="32"/>
      <c r="E2" s="34"/>
      <c r="F2" s="34"/>
      <c r="G2" s="34"/>
      <c r="H2" s="35"/>
      <c r="I2" s="34"/>
      <c r="J2" s="37"/>
      <c r="K2" s="18"/>
      <c r="L2" s="22"/>
      <c r="M2" s="38"/>
    </row>
    <row r="3">
      <c r="A3" s="39">
        <v>1.0</v>
      </c>
      <c r="B3" s="40" t="s">
        <v>36</v>
      </c>
      <c r="C3" s="42" t="s">
        <v>37</v>
      </c>
      <c r="D3" s="43" t="s">
        <v>41</v>
      </c>
      <c r="E3" s="40" t="s">
        <v>46</v>
      </c>
      <c r="F3" s="42" t="s">
        <v>47</v>
      </c>
      <c r="G3" s="44" t="s">
        <v>15</v>
      </c>
      <c r="H3" s="45">
        <v>4.583333333333334</v>
      </c>
      <c r="I3" s="55">
        <f>VLOOKUP(G3,CongLaoDong!$B$8:$F$12,5,0)</f>
        <v>1897500</v>
      </c>
      <c r="J3" s="59">
        <f t="shared" ref="J3:J10" si="1">H3*I3</f>
        <v>8696875</v>
      </c>
      <c r="K3" s="60"/>
      <c r="L3" s="62"/>
      <c r="M3" s="64"/>
    </row>
    <row r="4">
      <c r="A4" s="39">
        <v>2.0</v>
      </c>
      <c r="B4" s="40" t="s">
        <v>65</v>
      </c>
      <c r="C4" s="42" t="s">
        <v>37</v>
      </c>
      <c r="D4" s="65"/>
      <c r="E4" s="40" t="s">
        <v>46</v>
      </c>
      <c r="F4" s="42" t="s">
        <v>47</v>
      </c>
      <c r="G4" s="44" t="s">
        <v>15</v>
      </c>
      <c r="H4" s="45">
        <v>4.583333333333334</v>
      </c>
      <c r="I4" s="55">
        <f>VLOOKUP(G4,CongLaoDong!$B$8:$F$12,5,0)</f>
        <v>1897500</v>
      </c>
      <c r="J4" s="59">
        <f t="shared" si="1"/>
        <v>8696875</v>
      </c>
      <c r="K4" s="67"/>
      <c r="L4" s="68"/>
      <c r="M4" s="64"/>
    </row>
    <row r="5" ht="45.75" customHeight="1">
      <c r="A5" s="39">
        <v>3.0</v>
      </c>
      <c r="B5" s="40" t="s">
        <v>79</v>
      </c>
      <c r="C5" s="42" t="s">
        <v>37</v>
      </c>
      <c r="D5" s="65"/>
      <c r="E5" s="40" t="s">
        <v>46</v>
      </c>
      <c r="F5" s="42" t="s">
        <v>47</v>
      </c>
      <c r="G5" s="44" t="s">
        <v>15</v>
      </c>
      <c r="H5" s="45">
        <v>4.4</v>
      </c>
      <c r="I5" s="55">
        <f>VLOOKUP(G5,CongLaoDong!$B$8:$F$12,5,0)</f>
        <v>1897500</v>
      </c>
      <c r="J5" s="59">
        <f t="shared" si="1"/>
        <v>8349000</v>
      </c>
      <c r="K5" s="67"/>
      <c r="L5" s="68"/>
      <c r="M5" s="64"/>
    </row>
    <row r="6">
      <c r="A6" s="39">
        <v>4.0</v>
      </c>
      <c r="B6" s="40" t="s">
        <v>82</v>
      </c>
      <c r="C6" s="42" t="s">
        <v>37</v>
      </c>
      <c r="D6" s="65"/>
      <c r="E6" s="40" t="s">
        <v>46</v>
      </c>
      <c r="F6" s="42" t="s">
        <v>47</v>
      </c>
      <c r="G6" s="44" t="s">
        <v>15</v>
      </c>
      <c r="H6" s="45">
        <v>3.4833333333333334</v>
      </c>
      <c r="I6" s="55">
        <f>VLOOKUP(G6,CongLaoDong!$B$8:$F$12,5,0)</f>
        <v>1897500</v>
      </c>
      <c r="J6" s="59">
        <f t="shared" si="1"/>
        <v>6609625</v>
      </c>
      <c r="K6" s="67"/>
      <c r="L6" s="68"/>
      <c r="M6" s="64"/>
    </row>
    <row r="7">
      <c r="A7" s="39">
        <v>5.0</v>
      </c>
      <c r="B7" s="40" t="s">
        <v>84</v>
      </c>
      <c r="C7" s="42" t="s">
        <v>37</v>
      </c>
      <c r="D7" s="65"/>
      <c r="E7" s="40" t="s">
        <v>85</v>
      </c>
      <c r="F7" s="42" t="s">
        <v>47</v>
      </c>
      <c r="G7" s="44" t="s">
        <v>15</v>
      </c>
      <c r="H7" s="45">
        <v>4.583333333333334</v>
      </c>
      <c r="I7" s="55">
        <f>VLOOKUP(G7,CongLaoDong!$B$8:$F$12,5,0)</f>
        <v>1897500</v>
      </c>
      <c r="J7" s="59">
        <f t="shared" si="1"/>
        <v>8696875</v>
      </c>
      <c r="K7" s="67"/>
      <c r="L7" s="68"/>
      <c r="M7" s="64"/>
    </row>
    <row r="8">
      <c r="A8" s="39">
        <v>6.0</v>
      </c>
      <c r="B8" s="40" t="s">
        <v>89</v>
      </c>
      <c r="C8" s="42" t="s">
        <v>37</v>
      </c>
      <c r="D8" s="65"/>
      <c r="E8" s="40" t="s">
        <v>90</v>
      </c>
      <c r="F8" s="42" t="s">
        <v>56</v>
      </c>
      <c r="G8" s="44" t="s">
        <v>76</v>
      </c>
      <c r="H8" s="45">
        <v>5.683333333333334</v>
      </c>
      <c r="I8" s="55">
        <f>VLOOKUP(G8,CongLaoDong!$B$8:$F$12,5,0)</f>
        <v>1138500</v>
      </c>
      <c r="J8" s="59">
        <f t="shared" si="1"/>
        <v>6470475</v>
      </c>
      <c r="K8" s="67"/>
      <c r="L8" s="68"/>
      <c r="M8" s="64"/>
    </row>
    <row r="9">
      <c r="A9" s="39">
        <v>7.0</v>
      </c>
      <c r="B9" s="40" t="s">
        <v>91</v>
      </c>
      <c r="C9" s="42" t="s">
        <v>37</v>
      </c>
      <c r="D9" s="65"/>
      <c r="E9" s="40" t="s">
        <v>90</v>
      </c>
      <c r="F9" s="42" t="s">
        <v>56</v>
      </c>
      <c r="G9" s="44" t="s">
        <v>76</v>
      </c>
      <c r="H9" s="45">
        <v>5.5</v>
      </c>
      <c r="I9" s="55">
        <f>VLOOKUP(G9,CongLaoDong!$B$8:$F$12,5,0)</f>
        <v>1138500</v>
      </c>
      <c r="J9" s="59">
        <f t="shared" si="1"/>
        <v>6261750</v>
      </c>
      <c r="K9" s="67"/>
      <c r="L9" s="68"/>
      <c r="M9" s="64"/>
    </row>
    <row r="10">
      <c r="A10" s="39">
        <v>8.0</v>
      </c>
      <c r="B10" s="40" t="s">
        <v>93</v>
      </c>
      <c r="C10" s="42" t="s">
        <v>37</v>
      </c>
      <c r="D10" s="87"/>
      <c r="E10" s="40" t="s">
        <v>94</v>
      </c>
      <c r="F10" s="42" t="s">
        <v>56</v>
      </c>
      <c r="G10" s="44" t="s">
        <v>76</v>
      </c>
      <c r="H10" s="45">
        <v>3.4833333333333334</v>
      </c>
      <c r="I10" s="55">
        <f>VLOOKUP(G10,CongLaoDong!$B$8:$F$12,5,0)</f>
        <v>1138500</v>
      </c>
      <c r="J10" s="59">
        <f t="shared" si="1"/>
        <v>3965775</v>
      </c>
      <c r="K10" s="67"/>
      <c r="L10" s="68"/>
      <c r="M10" s="64"/>
    </row>
    <row r="11">
      <c r="A11" s="28" t="s">
        <v>98</v>
      </c>
      <c r="B11" s="30"/>
      <c r="C11" s="30"/>
      <c r="D11" s="32"/>
      <c r="E11" s="40"/>
      <c r="F11" s="42"/>
      <c r="G11" s="42"/>
      <c r="H11" s="90"/>
      <c r="I11" s="55"/>
      <c r="J11" s="59"/>
      <c r="K11" s="67"/>
      <c r="L11" s="68"/>
      <c r="M11" s="64"/>
    </row>
    <row r="12">
      <c r="A12" s="93">
        <v>9.0</v>
      </c>
      <c r="B12" s="40" t="s">
        <v>100</v>
      </c>
      <c r="C12" s="95" t="s">
        <v>101</v>
      </c>
      <c r="D12" s="43" t="s">
        <v>103</v>
      </c>
      <c r="E12" s="40" t="s">
        <v>104</v>
      </c>
      <c r="F12" s="40" t="s">
        <v>47</v>
      </c>
      <c r="G12" s="97" t="s">
        <v>15</v>
      </c>
      <c r="H12" s="45">
        <v>3.3</v>
      </c>
      <c r="I12" s="55">
        <f>VLOOKUP(G12,CongLaoDong!$B$8:$F$12,5,0)</f>
        <v>1897500</v>
      </c>
      <c r="J12" s="59">
        <f t="shared" ref="J12:J19" si="2">H12*I12</f>
        <v>6261750</v>
      </c>
      <c r="K12" s="67"/>
      <c r="L12" s="68"/>
      <c r="M12" s="64"/>
    </row>
    <row r="13">
      <c r="A13" s="93">
        <v>10.0</v>
      </c>
      <c r="B13" s="40" t="s">
        <v>112</v>
      </c>
      <c r="C13" s="95" t="s">
        <v>101</v>
      </c>
      <c r="D13" s="65"/>
      <c r="E13" s="40" t="s">
        <v>104</v>
      </c>
      <c r="F13" s="40" t="s">
        <v>47</v>
      </c>
      <c r="G13" s="97" t="s">
        <v>15</v>
      </c>
      <c r="H13" s="45">
        <v>4.583333333333334</v>
      </c>
      <c r="I13" s="55">
        <f>VLOOKUP(G13,CongLaoDong!$B$8:$F$12,5,0)</f>
        <v>1897500</v>
      </c>
      <c r="J13" s="59">
        <f t="shared" si="2"/>
        <v>8696875</v>
      </c>
      <c r="K13" s="67"/>
      <c r="L13" s="68"/>
      <c r="M13" s="64"/>
    </row>
    <row r="14">
      <c r="A14" s="93">
        <v>11.0</v>
      </c>
      <c r="B14" s="40" t="s">
        <v>119</v>
      </c>
      <c r="C14" s="95" t="s">
        <v>101</v>
      </c>
      <c r="D14" s="65"/>
      <c r="E14" s="40" t="s">
        <v>104</v>
      </c>
      <c r="F14" s="40" t="s">
        <v>47</v>
      </c>
      <c r="G14" s="97" t="s">
        <v>15</v>
      </c>
      <c r="H14" s="45">
        <v>3.4833333333333334</v>
      </c>
      <c r="I14" s="55">
        <f>VLOOKUP(G14,CongLaoDong!$B$8:$F$12,5,0)</f>
        <v>1897500</v>
      </c>
      <c r="J14" s="59">
        <f t="shared" si="2"/>
        <v>6609625</v>
      </c>
      <c r="K14" s="67"/>
      <c r="L14" s="68"/>
      <c r="M14" s="64"/>
    </row>
    <row r="15">
      <c r="A15" s="93">
        <v>12.0</v>
      </c>
      <c r="B15" s="40" t="s">
        <v>126</v>
      </c>
      <c r="C15" s="95" t="s">
        <v>101</v>
      </c>
      <c r="D15" s="65"/>
      <c r="E15" s="40" t="s">
        <v>127</v>
      </c>
      <c r="F15" s="40" t="s">
        <v>47</v>
      </c>
      <c r="G15" s="97" t="s">
        <v>15</v>
      </c>
      <c r="H15" s="45">
        <v>6.6</v>
      </c>
      <c r="I15" s="55">
        <f>VLOOKUP(G15,CongLaoDong!$B$8:$F$12,5,0)</f>
        <v>1897500</v>
      </c>
      <c r="J15" s="59">
        <f t="shared" si="2"/>
        <v>12523500</v>
      </c>
      <c r="K15" s="67"/>
      <c r="L15" s="68"/>
      <c r="M15" s="64"/>
    </row>
    <row r="16">
      <c r="A16" s="93">
        <v>13.0</v>
      </c>
      <c r="B16" s="40" t="s">
        <v>129</v>
      </c>
      <c r="C16" s="95" t="s">
        <v>101</v>
      </c>
      <c r="D16" s="65"/>
      <c r="E16" s="40" t="s">
        <v>130</v>
      </c>
      <c r="F16" s="40" t="s">
        <v>56</v>
      </c>
      <c r="G16" s="97" t="s">
        <v>76</v>
      </c>
      <c r="H16" s="45">
        <v>6.783333333333333</v>
      </c>
      <c r="I16" s="55">
        <f>VLOOKUP(G16,CongLaoDong!$B$8:$F$12,5,0)</f>
        <v>1138500</v>
      </c>
      <c r="J16" s="59">
        <f t="shared" si="2"/>
        <v>7722825</v>
      </c>
      <c r="K16" s="67"/>
      <c r="L16" s="68"/>
      <c r="M16" s="64"/>
    </row>
    <row r="17">
      <c r="A17" s="93">
        <v>14.0</v>
      </c>
      <c r="B17" s="40" t="s">
        <v>132</v>
      </c>
      <c r="C17" s="95" t="s">
        <v>101</v>
      </c>
      <c r="D17" s="65"/>
      <c r="E17" s="40" t="s">
        <v>130</v>
      </c>
      <c r="F17" s="40" t="s">
        <v>56</v>
      </c>
      <c r="G17" s="97" t="s">
        <v>76</v>
      </c>
      <c r="H17" s="45">
        <v>6.783333333333333</v>
      </c>
      <c r="I17" s="55">
        <f>VLOOKUP(G17,CongLaoDong!$B$8:$F$12,5,0)</f>
        <v>1138500</v>
      </c>
      <c r="J17" s="59">
        <f t="shared" si="2"/>
        <v>7722825</v>
      </c>
      <c r="K17" s="67"/>
      <c r="L17" s="68"/>
      <c r="M17" s="64"/>
    </row>
    <row r="18">
      <c r="A18" s="93">
        <v>15.0</v>
      </c>
      <c r="B18" s="40" t="s">
        <v>133</v>
      </c>
      <c r="C18" s="95" t="s">
        <v>101</v>
      </c>
      <c r="D18" s="65"/>
      <c r="E18" s="40" t="s">
        <v>130</v>
      </c>
      <c r="F18" s="40" t="s">
        <v>56</v>
      </c>
      <c r="G18" s="97" t="s">
        <v>76</v>
      </c>
      <c r="H18" s="45">
        <v>6.783333333333333</v>
      </c>
      <c r="I18" s="55">
        <f>VLOOKUP(G18,CongLaoDong!$B$8:$F$12,5,0)</f>
        <v>1138500</v>
      </c>
      <c r="J18" s="59">
        <f t="shared" si="2"/>
        <v>7722825</v>
      </c>
      <c r="K18" s="67"/>
      <c r="L18" s="68"/>
      <c r="M18" s="64"/>
    </row>
    <row r="19">
      <c r="A19" s="93">
        <v>16.0</v>
      </c>
      <c r="B19" s="40" t="s">
        <v>134</v>
      </c>
      <c r="C19" s="95" t="s">
        <v>101</v>
      </c>
      <c r="D19" s="87"/>
      <c r="E19" s="40" t="s">
        <v>130</v>
      </c>
      <c r="F19" s="40" t="s">
        <v>56</v>
      </c>
      <c r="G19" s="97" t="s">
        <v>76</v>
      </c>
      <c r="H19" s="45">
        <v>5.5</v>
      </c>
      <c r="I19" s="55">
        <f>VLOOKUP(G19,CongLaoDong!$B$8:$F$12,5,0)</f>
        <v>1138500</v>
      </c>
      <c r="J19" s="59">
        <f t="shared" si="2"/>
        <v>6261750</v>
      </c>
      <c r="K19" s="67"/>
      <c r="L19" s="68"/>
      <c r="M19" s="64"/>
    </row>
    <row r="20" ht="15.75" customHeight="1">
      <c r="A20" s="28" t="s">
        <v>135</v>
      </c>
      <c r="B20" s="30"/>
      <c r="C20" s="30"/>
      <c r="D20" s="32"/>
      <c r="E20" s="40"/>
      <c r="F20" s="40"/>
      <c r="G20" s="40"/>
      <c r="H20" s="90"/>
      <c r="I20" s="55"/>
      <c r="J20" s="59"/>
      <c r="K20" s="67"/>
      <c r="L20" s="68"/>
      <c r="M20" s="64"/>
    </row>
    <row r="21">
      <c r="A21" s="93">
        <v>17.0</v>
      </c>
      <c r="B21" s="40" t="s">
        <v>136</v>
      </c>
      <c r="C21" s="95" t="s">
        <v>101</v>
      </c>
      <c r="D21" s="43" t="s">
        <v>137</v>
      </c>
      <c r="E21" s="40" t="s">
        <v>130</v>
      </c>
      <c r="F21" s="40" t="s">
        <v>56</v>
      </c>
      <c r="G21" s="97" t="s">
        <v>69</v>
      </c>
      <c r="H21" s="45">
        <v>4.583333333333334</v>
      </c>
      <c r="I21" s="55">
        <f>VLOOKUP(G21,CongLaoDong!$B$8:$F$12,5,0)</f>
        <v>1138500</v>
      </c>
      <c r="J21" s="59">
        <f t="shared" ref="J21:J28" si="3">H21*I21</f>
        <v>5218125</v>
      </c>
      <c r="K21" s="67"/>
      <c r="L21" s="68"/>
      <c r="M21" s="64"/>
    </row>
    <row r="22">
      <c r="A22" s="93">
        <v>18.0</v>
      </c>
      <c r="B22" s="40" t="s">
        <v>138</v>
      </c>
      <c r="C22" s="95" t="s">
        <v>101</v>
      </c>
      <c r="D22" s="65"/>
      <c r="E22" s="40" t="s">
        <v>139</v>
      </c>
      <c r="F22" s="40" t="s">
        <v>56</v>
      </c>
      <c r="G22" s="97" t="s">
        <v>69</v>
      </c>
      <c r="H22" s="45">
        <v>5.5</v>
      </c>
      <c r="I22" s="55">
        <f>VLOOKUP(G22,CongLaoDong!$B$8:$F$12,5,0)</f>
        <v>1138500</v>
      </c>
      <c r="J22" s="59">
        <f t="shared" si="3"/>
        <v>6261750</v>
      </c>
      <c r="K22" s="67"/>
      <c r="L22" s="68"/>
      <c r="M22" s="64"/>
    </row>
    <row r="23">
      <c r="A23" s="93">
        <v>19.0</v>
      </c>
      <c r="B23" s="40" t="s">
        <v>140</v>
      </c>
      <c r="C23" s="95" t="s">
        <v>101</v>
      </c>
      <c r="D23" s="65"/>
      <c r="E23" s="40" t="s">
        <v>141</v>
      </c>
      <c r="F23" s="40" t="s">
        <v>56</v>
      </c>
      <c r="G23" s="97" t="s">
        <v>69</v>
      </c>
      <c r="H23" s="45">
        <v>6.6</v>
      </c>
      <c r="I23" s="55">
        <f>VLOOKUP(G23,CongLaoDong!$B$8:$F$12,5,0)</f>
        <v>1138500</v>
      </c>
      <c r="J23" s="59">
        <f t="shared" si="3"/>
        <v>7514100</v>
      </c>
      <c r="K23" s="67"/>
      <c r="L23" s="68"/>
      <c r="M23" s="64"/>
    </row>
    <row r="24">
      <c r="A24" s="93">
        <v>20.0</v>
      </c>
      <c r="B24" s="40" t="s">
        <v>142</v>
      </c>
      <c r="C24" s="95" t="s">
        <v>101</v>
      </c>
      <c r="D24" s="65"/>
      <c r="E24" s="40" t="s">
        <v>143</v>
      </c>
      <c r="F24" s="40" t="s">
        <v>56</v>
      </c>
      <c r="G24" s="97" t="s">
        <v>69</v>
      </c>
      <c r="H24" s="45">
        <v>5.5</v>
      </c>
      <c r="I24" s="55">
        <f>VLOOKUP(G24,CongLaoDong!$B$8:$F$12,5,0)</f>
        <v>1138500</v>
      </c>
      <c r="J24" s="59">
        <f t="shared" si="3"/>
        <v>6261750</v>
      </c>
      <c r="K24" s="67"/>
      <c r="L24" s="68"/>
      <c r="M24" s="64"/>
    </row>
    <row r="25">
      <c r="A25" s="93">
        <v>21.0</v>
      </c>
      <c r="B25" s="40" t="s">
        <v>144</v>
      </c>
      <c r="C25" s="95" t="s">
        <v>145</v>
      </c>
      <c r="D25" s="65"/>
      <c r="E25" s="40" t="s">
        <v>146</v>
      </c>
      <c r="F25" s="40" t="s">
        <v>56</v>
      </c>
      <c r="G25" s="97" t="s">
        <v>64</v>
      </c>
      <c r="H25" s="45">
        <v>3.3</v>
      </c>
      <c r="I25" s="55">
        <f>VLOOKUP(G25,CongLaoDong!$B$8:$F$12,5,0)</f>
        <v>1138500</v>
      </c>
      <c r="J25" s="59">
        <f t="shared" si="3"/>
        <v>3757050</v>
      </c>
      <c r="K25" s="67"/>
      <c r="L25" s="68"/>
      <c r="M25" s="64"/>
    </row>
    <row r="26">
      <c r="A26" s="93">
        <v>22.0</v>
      </c>
      <c r="B26" s="40" t="s">
        <v>147</v>
      </c>
      <c r="C26" s="95" t="s">
        <v>145</v>
      </c>
      <c r="D26" s="65"/>
      <c r="E26" s="40" t="s">
        <v>146</v>
      </c>
      <c r="F26" s="40" t="s">
        <v>56</v>
      </c>
      <c r="G26" s="97" t="s">
        <v>64</v>
      </c>
      <c r="H26" s="45">
        <v>5.5</v>
      </c>
      <c r="I26" s="55">
        <f>VLOOKUP(G26,CongLaoDong!$B$8:$F$12,5,0)</f>
        <v>1138500</v>
      </c>
      <c r="J26" s="59">
        <f t="shared" si="3"/>
        <v>6261750</v>
      </c>
      <c r="K26" s="67"/>
      <c r="L26" s="68"/>
      <c r="M26" s="64"/>
    </row>
    <row r="27">
      <c r="A27" s="93">
        <v>23.0</v>
      </c>
      <c r="B27" s="40" t="s">
        <v>148</v>
      </c>
      <c r="C27" s="95" t="s">
        <v>145</v>
      </c>
      <c r="D27" s="65"/>
      <c r="E27" s="40" t="s">
        <v>146</v>
      </c>
      <c r="F27" s="40" t="s">
        <v>56</v>
      </c>
      <c r="G27" s="97" t="s">
        <v>64</v>
      </c>
      <c r="H27" s="45">
        <v>5.5</v>
      </c>
      <c r="I27" s="55">
        <f>VLOOKUP(G27,CongLaoDong!$B$8:$F$12,5,0)</f>
        <v>1138500</v>
      </c>
      <c r="J27" s="59">
        <f t="shared" si="3"/>
        <v>6261750</v>
      </c>
      <c r="K27" s="67"/>
      <c r="L27" s="68"/>
      <c r="M27" s="64"/>
    </row>
    <row r="28">
      <c r="A28" s="93">
        <v>24.0</v>
      </c>
      <c r="B28" s="40" t="s">
        <v>149</v>
      </c>
      <c r="C28" s="95" t="s">
        <v>145</v>
      </c>
      <c r="D28" s="87"/>
      <c r="E28" s="40" t="s">
        <v>146</v>
      </c>
      <c r="F28" s="40" t="s">
        <v>56</v>
      </c>
      <c r="G28" s="97" t="s">
        <v>64</v>
      </c>
      <c r="H28" s="45">
        <v>4.583333333333334</v>
      </c>
      <c r="I28" s="55">
        <f>VLOOKUP(G28,CongLaoDong!$B$8:$F$12,5,0)</f>
        <v>1138500</v>
      </c>
      <c r="J28" s="59">
        <f t="shared" si="3"/>
        <v>5218125</v>
      </c>
      <c r="K28" s="67"/>
      <c r="L28" s="68"/>
      <c r="M28" s="64"/>
    </row>
    <row r="29" ht="15.75" customHeight="1">
      <c r="A29" s="28" t="s">
        <v>150</v>
      </c>
      <c r="B29" s="30"/>
      <c r="C29" s="30"/>
      <c r="D29" s="32"/>
      <c r="E29" s="108"/>
      <c r="F29" s="108"/>
      <c r="G29" s="108"/>
      <c r="H29" s="90"/>
      <c r="I29" s="108"/>
      <c r="J29" s="109"/>
      <c r="K29" s="110"/>
      <c r="L29" s="111"/>
      <c r="M29" s="64"/>
    </row>
    <row r="30">
      <c r="A30" s="112">
        <v>25.0</v>
      </c>
      <c r="B30" s="40" t="s">
        <v>151</v>
      </c>
      <c r="C30" s="95" t="s">
        <v>152</v>
      </c>
      <c r="D30" s="43" t="s">
        <v>153</v>
      </c>
      <c r="E30" s="40" t="s">
        <v>146</v>
      </c>
      <c r="F30" s="40" t="s">
        <v>56</v>
      </c>
      <c r="G30" s="97" t="s">
        <v>55</v>
      </c>
      <c r="H30" s="45">
        <v>5.5</v>
      </c>
      <c r="I30" s="55">
        <f>VLOOKUP(G30,CongLaoDong!$B$8:$F$12,5,0)</f>
        <v>1138500</v>
      </c>
      <c r="J30" s="59">
        <f t="shared" ref="J30:J42" si="4">H30*I30</f>
        <v>6261750</v>
      </c>
      <c r="K30" s="67"/>
      <c r="L30" s="68"/>
      <c r="M30" s="64"/>
    </row>
    <row r="31">
      <c r="A31" s="112">
        <v>26.0</v>
      </c>
      <c r="B31" s="40" t="s">
        <v>154</v>
      </c>
      <c r="C31" s="95" t="s">
        <v>152</v>
      </c>
      <c r="D31" s="65"/>
      <c r="E31" s="40" t="s">
        <v>146</v>
      </c>
      <c r="F31" s="40" t="s">
        <v>56</v>
      </c>
      <c r="G31" s="97" t="s">
        <v>55</v>
      </c>
      <c r="H31" s="45">
        <v>4.583333333333334</v>
      </c>
      <c r="I31" s="55">
        <f>VLOOKUP(G31,CongLaoDong!$B$8:$F$12,5,0)</f>
        <v>1138500</v>
      </c>
      <c r="J31" s="59">
        <f t="shared" si="4"/>
        <v>5218125</v>
      </c>
      <c r="K31" s="67"/>
      <c r="L31" s="68"/>
      <c r="M31" s="64"/>
    </row>
    <row r="32">
      <c r="A32" s="112">
        <v>27.0</v>
      </c>
      <c r="B32" s="40" t="s">
        <v>155</v>
      </c>
      <c r="C32" s="95" t="s">
        <v>152</v>
      </c>
      <c r="D32" s="65"/>
      <c r="E32" s="40" t="s">
        <v>146</v>
      </c>
      <c r="F32" s="40" t="s">
        <v>56</v>
      </c>
      <c r="G32" s="97" t="s">
        <v>55</v>
      </c>
      <c r="H32" s="45">
        <v>6.783333333333333</v>
      </c>
      <c r="I32" s="55">
        <f>VLOOKUP(G32,CongLaoDong!$B$8:$F$12,5,0)</f>
        <v>1138500</v>
      </c>
      <c r="J32" s="59">
        <f t="shared" si="4"/>
        <v>7722825</v>
      </c>
      <c r="K32" s="67"/>
      <c r="L32" s="68"/>
      <c r="M32" s="64"/>
    </row>
    <row r="33">
      <c r="A33" s="112">
        <v>28.0</v>
      </c>
      <c r="B33" s="40" t="s">
        <v>156</v>
      </c>
      <c r="C33" s="95" t="s">
        <v>152</v>
      </c>
      <c r="D33" s="65"/>
      <c r="E33" s="40" t="s">
        <v>146</v>
      </c>
      <c r="F33" s="40" t="s">
        <v>56</v>
      </c>
      <c r="G33" s="97" t="s">
        <v>55</v>
      </c>
      <c r="H33" s="45">
        <v>4.583333333333334</v>
      </c>
      <c r="I33" s="55">
        <f>VLOOKUP(G33,CongLaoDong!$B$8:$F$12,5,0)</f>
        <v>1138500</v>
      </c>
      <c r="J33" s="59">
        <f t="shared" si="4"/>
        <v>5218125</v>
      </c>
      <c r="K33" s="67"/>
      <c r="L33" s="68"/>
      <c r="M33" s="64"/>
    </row>
    <row r="34">
      <c r="A34" s="112">
        <v>29.0</v>
      </c>
      <c r="B34" s="40" t="s">
        <v>157</v>
      </c>
      <c r="C34" s="95" t="s">
        <v>152</v>
      </c>
      <c r="D34" s="65"/>
      <c r="E34" s="40" t="s">
        <v>146</v>
      </c>
      <c r="F34" s="40" t="s">
        <v>56</v>
      </c>
      <c r="G34" s="97" t="s">
        <v>55</v>
      </c>
      <c r="H34" s="45">
        <v>6.783333333333333</v>
      </c>
      <c r="I34" s="55">
        <f>VLOOKUP(G34,CongLaoDong!$B$8:$F$12,5,0)</f>
        <v>1138500</v>
      </c>
      <c r="J34" s="59">
        <f t="shared" si="4"/>
        <v>7722825</v>
      </c>
      <c r="K34" s="67"/>
      <c r="L34" s="68"/>
      <c r="M34" s="64"/>
    </row>
    <row r="35">
      <c r="A35" s="112">
        <v>30.0</v>
      </c>
      <c r="B35" s="40" t="s">
        <v>158</v>
      </c>
      <c r="C35" s="95" t="s">
        <v>152</v>
      </c>
      <c r="D35" s="65"/>
      <c r="E35" s="40" t="s">
        <v>146</v>
      </c>
      <c r="F35" s="40" t="s">
        <v>56</v>
      </c>
      <c r="G35" s="97" t="s">
        <v>55</v>
      </c>
      <c r="H35" s="45">
        <v>5.5</v>
      </c>
      <c r="I35" s="55">
        <f>VLOOKUP(G35,CongLaoDong!$B$8:$F$12,5,0)</f>
        <v>1138500</v>
      </c>
      <c r="J35" s="59">
        <f t="shared" si="4"/>
        <v>6261750</v>
      </c>
      <c r="K35" s="67"/>
      <c r="L35" s="68"/>
      <c r="M35" s="64"/>
    </row>
    <row r="36">
      <c r="A36" s="112">
        <v>31.0</v>
      </c>
      <c r="B36" s="40" t="s">
        <v>159</v>
      </c>
      <c r="C36" s="95" t="s">
        <v>152</v>
      </c>
      <c r="D36" s="65"/>
      <c r="E36" s="40" t="s">
        <v>146</v>
      </c>
      <c r="F36" s="40" t="s">
        <v>56</v>
      </c>
      <c r="G36" s="97" t="s">
        <v>64</v>
      </c>
      <c r="H36" s="45">
        <v>3.4833333333333334</v>
      </c>
      <c r="I36" s="55">
        <f>VLOOKUP(G36,CongLaoDong!$B$8:$F$12,5,0)</f>
        <v>1138500</v>
      </c>
      <c r="J36" s="59">
        <f t="shared" si="4"/>
        <v>3965775</v>
      </c>
      <c r="K36" s="67"/>
      <c r="L36" s="68"/>
      <c r="M36" s="64"/>
    </row>
    <row r="37">
      <c r="A37" s="112">
        <v>32.0</v>
      </c>
      <c r="B37" s="40" t="s">
        <v>160</v>
      </c>
      <c r="C37" s="95" t="s">
        <v>152</v>
      </c>
      <c r="D37" s="65"/>
      <c r="E37" s="40" t="s">
        <v>146</v>
      </c>
      <c r="F37" s="40" t="s">
        <v>56</v>
      </c>
      <c r="G37" s="97" t="s">
        <v>64</v>
      </c>
      <c r="H37" s="45">
        <v>3.4833333333333334</v>
      </c>
      <c r="I37" s="55">
        <f>VLOOKUP(G37,CongLaoDong!$B$8:$F$12,5,0)</f>
        <v>1138500</v>
      </c>
      <c r="J37" s="59">
        <f t="shared" si="4"/>
        <v>3965775</v>
      </c>
      <c r="K37" s="67"/>
      <c r="L37" s="68"/>
      <c r="M37" s="64"/>
    </row>
    <row r="38">
      <c r="A38" s="112">
        <v>33.0</v>
      </c>
      <c r="B38" s="40" t="s">
        <v>161</v>
      </c>
      <c r="C38" s="95" t="s">
        <v>152</v>
      </c>
      <c r="D38" s="65"/>
      <c r="E38" s="40" t="s">
        <v>146</v>
      </c>
      <c r="F38" s="40" t="s">
        <v>56</v>
      </c>
      <c r="G38" s="97" t="s">
        <v>64</v>
      </c>
      <c r="H38" s="45">
        <v>5.5</v>
      </c>
      <c r="I38" s="55">
        <f>VLOOKUP(G38,CongLaoDong!$B$8:$F$12,5,0)</f>
        <v>1138500</v>
      </c>
      <c r="J38" s="59">
        <f t="shared" si="4"/>
        <v>6261750</v>
      </c>
      <c r="K38" s="67"/>
      <c r="L38" s="68"/>
      <c r="M38" s="64"/>
    </row>
    <row r="39">
      <c r="A39" s="112">
        <v>34.0</v>
      </c>
      <c r="B39" s="40" t="s">
        <v>162</v>
      </c>
      <c r="C39" s="95" t="s">
        <v>152</v>
      </c>
      <c r="D39" s="65"/>
      <c r="E39" s="40" t="s">
        <v>146</v>
      </c>
      <c r="F39" s="40" t="s">
        <v>56</v>
      </c>
      <c r="G39" s="97" t="s">
        <v>64</v>
      </c>
      <c r="H39" s="45">
        <v>4.583333333333334</v>
      </c>
      <c r="I39" s="55">
        <f>VLOOKUP(G39,CongLaoDong!$B$8:$F$12,5,0)</f>
        <v>1138500</v>
      </c>
      <c r="J39" s="59">
        <f t="shared" si="4"/>
        <v>5218125</v>
      </c>
      <c r="K39" s="67"/>
      <c r="L39" s="68"/>
      <c r="M39" s="64"/>
    </row>
    <row r="40">
      <c r="A40" s="112">
        <v>35.0</v>
      </c>
      <c r="B40" s="40" t="s">
        <v>163</v>
      </c>
      <c r="C40" s="95" t="s">
        <v>152</v>
      </c>
      <c r="D40" s="65"/>
      <c r="E40" s="40" t="s">
        <v>146</v>
      </c>
      <c r="F40" s="40" t="s">
        <v>56</v>
      </c>
      <c r="G40" s="97" t="s">
        <v>69</v>
      </c>
      <c r="H40" s="45">
        <v>5.5</v>
      </c>
      <c r="I40" s="55">
        <f>VLOOKUP(G40,CongLaoDong!$B$8:$F$12,5,0)</f>
        <v>1138500</v>
      </c>
      <c r="J40" s="59">
        <f t="shared" si="4"/>
        <v>6261750</v>
      </c>
      <c r="K40" s="67"/>
      <c r="L40" s="68"/>
      <c r="M40" s="64"/>
    </row>
    <row r="41">
      <c r="A41" s="112">
        <v>36.0</v>
      </c>
      <c r="B41" s="40" t="s">
        <v>164</v>
      </c>
      <c r="C41" s="95" t="s">
        <v>152</v>
      </c>
      <c r="D41" s="65"/>
      <c r="E41" s="40" t="s">
        <v>146</v>
      </c>
      <c r="F41" s="40" t="s">
        <v>56</v>
      </c>
      <c r="G41" s="97" t="s">
        <v>69</v>
      </c>
      <c r="H41" s="45">
        <v>6.783333333333333</v>
      </c>
      <c r="I41" s="55">
        <f>VLOOKUP(G41,CongLaoDong!$B$8:$F$12,5,0)</f>
        <v>1138500</v>
      </c>
      <c r="J41" s="59">
        <f t="shared" si="4"/>
        <v>7722825</v>
      </c>
      <c r="K41" s="67"/>
      <c r="L41" s="68"/>
      <c r="M41" s="64"/>
    </row>
    <row r="42">
      <c r="A42" s="112">
        <v>37.0</v>
      </c>
      <c r="B42" s="40" t="s">
        <v>165</v>
      </c>
      <c r="C42" s="95" t="s">
        <v>152</v>
      </c>
      <c r="D42" s="87"/>
      <c r="E42" s="40" t="s">
        <v>146</v>
      </c>
      <c r="F42" s="40" t="s">
        <v>56</v>
      </c>
      <c r="G42" s="97" t="s">
        <v>69</v>
      </c>
      <c r="H42" s="45">
        <v>5.683333333333334</v>
      </c>
      <c r="I42" s="55">
        <f>VLOOKUP(G42,CongLaoDong!$B$8:$F$12,5,0)</f>
        <v>1138500</v>
      </c>
      <c r="J42" s="59">
        <f t="shared" si="4"/>
        <v>6470475</v>
      </c>
      <c r="K42" s="67"/>
      <c r="L42" s="68"/>
      <c r="M42" s="64"/>
    </row>
    <row r="43" ht="15.75" customHeight="1">
      <c r="A43" s="28" t="s">
        <v>166</v>
      </c>
      <c r="B43" s="30"/>
      <c r="C43" s="30"/>
      <c r="D43" s="32"/>
      <c r="E43" s="40"/>
      <c r="F43" s="40"/>
      <c r="G43" s="40"/>
      <c r="H43" s="90"/>
      <c r="I43" s="55"/>
      <c r="J43" s="59"/>
      <c r="K43" s="67"/>
      <c r="L43" s="68"/>
      <c r="M43" s="64"/>
    </row>
    <row r="44">
      <c r="A44" s="93">
        <v>38.0</v>
      </c>
      <c r="B44" s="40" t="s">
        <v>167</v>
      </c>
      <c r="C44" s="40" t="s">
        <v>168</v>
      </c>
      <c r="D44" s="43" t="s">
        <v>169</v>
      </c>
      <c r="E44" s="40" t="s">
        <v>170</v>
      </c>
      <c r="F44" s="40" t="s">
        <v>56</v>
      </c>
      <c r="G44" s="97" t="s">
        <v>64</v>
      </c>
      <c r="H44" s="45">
        <v>6.6</v>
      </c>
      <c r="I44" s="55">
        <f>VLOOKUP(G44,CongLaoDong!$B$8:$F$12,5,0)</f>
        <v>1138500</v>
      </c>
      <c r="J44" s="59">
        <f t="shared" ref="J44:J53" si="5">H44*I44</f>
        <v>7514100</v>
      </c>
      <c r="K44" s="67"/>
      <c r="L44" s="68"/>
      <c r="M44" s="64"/>
    </row>
    <row r="45">
      <c r="A45" s="93">
        <v>39.0</v>
      </c>
      <c r="B45" s="40" t="s">
        <v>171</v>
      </c>
      <c r="C45" s="40" t="s">
        <v>168</v>
      </c>
      <c r="D45" s="65"/>
      <c r="E45" s="40" t="s">
        <v>172</v>
      </c>
      <c r="F45" s="40" t="s">
        <v>56</v>
      </c>
      <c r="G45" s="97" t="s">
        <v>64</v>
      </c>
      <c r="H45" s="45">
        <v>3.4833333333333334</v>
      </c>
      <c r="I45" s="55">
        <f>VLOOKUP(G45,CongLaoDong!$B$8:$F$12,5,0)</f>
        <v>1138500</v>
      </c>
      <c r="J45" s="59">
        <f t="shared" si="5"/>
        <v>3965775</v>
      </c>
      <c r="K45" s="67"/>
      <c r="L45" s="68"/>
      <c r="M45" s="64"/>
    </row>
    <row r="46">
      <c r="A46" s="93">
        <v>40.0</v>
      </c>
      <c r="B46" s="40" t="s">
        <v>173</v>
      </c>
      <c r="C46" s="40" t="s">
        <v>168</v>
      </c>
      <c r="D46" s="65"/>
      <c r="E46" s="40" t="s">
        <v>174</v>
      </c>
      <c r="F46" s="40" t="s">
        <v>56</v>
      </c>
      <c r="G46" s="97" t="s">
        <v>55</v>
      </c>
      <c r="H46" s="45">
        <v>4.583333333333334</v>
      </c>
      <c r="I46" s="55">
        <f>VLOOKUP(G46,CongLaoDong!$B$8:$F$12,5,0)</f>
        <v>1138500</v>
      </c>
      <c r="J46" s="59">
        <f t="shared" si="5"/>
        <v>5218125</v>
      </c>
      <c r="K46" s="67"/>
      <c r="L46" s="68"/>
      <c r="M46" s="64"/>
    </row>
    <row r="47">
      <c r="A47" s="93">
        <v>41.0</v>
      </c>
      <c r="B47" s="40" t="s">
        <v>175</v>
      </c>
      <c r="C47" s="40" t="s">
        <v>168</v>
      </c>
      <c r="D47" s="65"/>
      <c r="E47" s="40" t="s">
        <v>176</v>
      </c>
      <c r="F47" s="40" t="s">
        <v>56</v>
      </c>
      <c r="G47" s="97" t="s">
        <v>55</v>
      </c>
      <c r="H47" s="45">
        <v>5.5</v>
      </c>
      <c r="I47" s="55">
        <f>VLOOKUP(G47,CongLaoDong!$B$8:$F$12,5,0)</f>
        <v>1138500</v>
      </c>
      <c r="J47" s="59">
        <f t="shared" si="5"/>
        <v>6261750</v>
      </c>
      <c r="K47" s="67"/>
      <c r="L47" s="68"/>
      <c r="M47" s="64"/>
    </row>
    <row r="48">
      <c r="A48" s="93">
        <v>42.0</v>
      </c>
      <c r="B48" s="40" t="s">
        <v>177</v>
      </c>
      <c r="C48" s="40" t="s">
        <v>168</v>
      </c>
      <c r="D48" s="65"/>
      <c r="E48" s="40" t="s">
        <v>178</v>
      </c>
      <c r="F48" s="40" t="s">
        <v>47</v>
      </c>
      <c r="G48" s="97" t="s">
        <v>15</v>
      </c>
      <c r="H48" s="45">
        <v>5.5</v>
      </c>
      <c r="I48" s="55">
        <f>VLOOKUP(G48,CongLaoDong!$B$8:$F$12,5,0)</f>
        <v>1897500</v>
      </c>
      <c r="J48" s="59">
        <f t="shared" si="5"/>
        <v>10436250</v>
      </c>
      <c r="K48" s="67"/>
      <c r="L48" s="68"/>
      <c r="M48" s="64"/>
    </row>
    <row r="49">
      <c r="A49" s="93">
        <v>43.0</v>
      </c>
      <c r="B49" s="40" t="s">
        <v>179</v>
      </c>
      <c r="C49" s="40" t="s">
        <v>168</v>
      </c>
      <c r="D49" s="65"/>
      <c r="E49" s="40" t="s">
        <v>170</v>
      </c>
      <c r="F49" s="40" t="s">
        <v>56</v>
      </c>
      <c r="G49" s="97" t="s">
        <v>76</v>
      </c>
      <c r="H49" s="45">
        <v>3.4833333333333334</v>
      </c>
      <c r="I49" s="55">
        <f>VLOOKUP(G49,CongLaoDong!$B$8:$F$12,5,0)</f>
        <v>1138500</v>
      </c>
      <c r="J49" s="59">
        <f t="shared" si="5"/>
        <v>3965775</v>
      </c>
      <c r="K49" s="67"/>
      <c r="L49" s="68"/>
      <c r="M49" s="64"/>
    </row>
    <row r="50">
      <c r="A50" s="93">
        <v>44.0</v>
      </c>
      <c r="B50" s="40" t="s">
        <v>180</v>
      </c>
      <c r="C50" s="40" t="s">
        <v>168</v>
      </c>
      <c r="D50" s="65"/>
      <c r="E50" s="40" t="s">
        <v>181</v>
      </c>
      <c r="F50" s="40" t="s">
        <v>47</v>
      </c>
      <c r="G50" s="97" t="s">
        <v>15</v>
      </c>
      <c r="H50" s="45">
        <v>6.783333333333333</v>
      </c>
      <c r="I50" s="55">
        <f>VLOOKUP(G50,CongLaoDong!$B$8:$F$12,5,0)</f>
        <v>1897500</v>
      </c>
      <c r="J50" s="59">
        <f t="shared" si="5"/>
        <v>12871375</v>
      </c>
      <c r="K50" s="67"/>
      <c r="L50" s="68"/>
      <c r="M50" s="64"/>
    </row>
    <row r="51" ht="45.75" customHeight="1">
      <c r="A51" s="113">
        <v>45.0</v>
      </c>
      <c r="B51" s="114" t="s">
        <v>182</v>
      </c>
      <c r="C51" s="40" t="s">
        <v>168</v>
      </c>
      <c r="D51" s="65"/>
      <c r="E51" s="114" t="s">
        <v>183</v>
      </c>
      <c r="F51" s="40" t="s">
        <v>56</v>
      </c>
      <c r="G51" s="97" t="s">
        <v>55</v>
      </c>
      <c r="H51" s="45">
        <v>6.783333333333333</v>
      </c>
      <c r="I51" s="55">
        <f>VLOOKUP(G51,CongLaoDong!$B$8:$F$12,5,0)</f>
        <v>1138500</v>
      </c>
      <c r="J51" s="59">
        <f t="shared" si="5"/>
        <v>7722825</v>
      </c>
      <c r="K51" s="67"/>
      <c r="L51" s="68"/>
      <c r="M51" s="64"/>
    </row>
    <row r="52">
      <c r="A52" s="115"/>
      <c r="B52" s="65"/>
      <c r="C52" s="40" t="s">
        <v>168</v>
      </c>
      <c r="D52" s="65"/>
      <c r="E52" s="65"/>
      <c r="F52" s="40" t="s">
        <v>56</v>
      </c>
      <c r="G52" s="116" t="s">
        <v>69</v>
      </c>
      <c r="H52" s="45">
        <v>6.783333333333333</v>
      </c>
      <c r="I52" s="55">
        <f>VLOOKUP(G52,CongLaoDong!$B$8:$F$12,5,0)</f>
        <v>1138500</v>
      </c>
      <c r="J52" s="59">
        <f t="shared" si="5"/>
        <v>7722825</v>
      </c>
      <c r="K52" s="67"/>
      <c r="L52" s="68"/>
      <c r="M52" s="64"/>
    </row>
    <row r="53">
      <c r="A53" s="117"/>
      <c r="B53" s="87"/>
      <c r="C53" s="40" t="s">
        <v>168</v>
      </c>
      <c r="D53" s="87"/>
      <c r="E53" s="87"/>
      <c r="F53" s="40" t="s">
        <v>56</v>
      </c>
      <c r="G53" s="116" t="s">
        <v>64</v>
      </c>
      <c r="H53" s="45">
        <v>6.783333333333333</v>
      </c>
      <c r="I53" s="55">
        <f>VLOOKUP(G53,CongLaoDong!$B$8:$F$12,5,0)</f>
        <v>1138500</v>
      </c>
      <c r="J53" s="59">
        <f t="shared" si="5"/>
        <v>7722825</v>
      </c>
      <c r="K53" s="67"/>
      <c r="L53" s="68"/>
      <c r="M53" s="64"/>
    </row>
    <row r="54">
      <c r="A54" s="28" t="s">
        <v>184</v>
      </c>
      <c r="B54" s="30"/>
      <c r="C54" s="30"/>
      <c r="D54" s="32"/>
      <c r="E54" s="40"/>
      <c r="F54" s="40"/>
      <c r="G54" s="95"/>
      <c r="H54" s="90"/>
      <c r="I54" s="55"/>
      <c r="J54" s="59"/>
      <c r="K54" s="67"/>
      <c r="L54" s="68"/>
      <c r="M54" s="64"/>
    </row>
    <row r="55">
      <c r="A55" s="93">
        <v>46.0</v>
      </c>
      <c r="B55" s="40" t="s">
        <v>185</v>
      </c>
      <c r="C55" s="40" t="s">
        <v>186</v>
      </c>
      <c r="D55" s="43" t="s">
        <v>187</v>
      </c>
      <c r="E55" s="40" t="s">
        <v>188</v>
      </c>
      <c r="F55" s="40" t="s">
        <v>56</v>
      </c>
      <c r="G55" s="97" t="s">
        <v>55</v>
      </c>
      <c r="H55" s="45">
        <v>3.3</v>
      </c>
      <c r="I55" s="55">
        <f>VLOOKUP(G55,CongLaoDong!$B$8:$F$12,5,0)</f>
        <v>1138500</v>
      </c>
      <c r="J55" s="59">
        <f t="shared" ref="J55:J59" si="6">H55*I55</f>
        <v>3757050</v>
      </c>
      <c r="K55" s="67"/>
      <c r="L55" s="68"/>
      <c r="M55" s="64"/>
    </row>
    <row r="56">
      <c r="A56" s="93">
        <v>47.0</v>
      </c>
      <c r="B56" s="40" t="s">
        <v>189</v>
      </c>
      <c r="C56" s="40" t="s">
        <v>190</v>
      </c>
      <c r="D56" s="65"/>
      <c r="E56" s="40" t="s">
        <v>191</v>
      </c>
      <c r="F56" s="40" t="s">
        <v>56</v>
      </c>
      <c r="G56" s="97" t="s">
        <v>69</v>
      </c>
      <c r="H56" s="45">
        <v>3.4833333333333334</v>
      </c>
      <c r="I56" s="55">
        <f>VLOOKUP(G56,CongLaoDong!$B$8:$F$12,5,0)</f>
        <v>1138500</v>
      </c>
      <c r="J56" s="59">
        <f t="shared" si="6"/>
        <v>3965775</v>
      </c>
      <c r="K56" s="67"/>
      <c r="L56" s="68"/>
      <c r="M56" s="64"/>
    </row>
    <row r="57">
      <c r="A57" s="93">
        <v>48.0</v>
      </c>
      <c r="B57" s="40" t="s">
        <v>192</v>
      </c>
      <c r="C57" s="40" t="s">
        <v>193</v>
      </c>
      <c r="D57" s="65"/>
      <c r="E57" s="40" t="s">
        <v>194</v>
      </c>
      <c r="F57" s="40" t="s">
        <v>56</v>
      </c>
      <c r="G57" s="97" t="s">
        <v>76</v>
      </c>
      <c r="H57" s="45">
        <v>4.583333333333334</v>
      </c>
      <c r="I57" s="55">
        <f>VLOOKUP(G57,CongLaoDong!$B$8:$F$12,5,0)</f>
        <v>1138500</v>
      </c>
      <c r="J57" s="59">
        <f t="shared" si="6"/>
        <v>5218125</v>
      </c>
      <c r="K57" s="67"/>
      <c r="L57" s="68"/>
      <c r="M57" s="64"/>
    </row>
    <row r="58">
      <c r="A58" s="93">
        <v>49.0</v>
      </c>
      <c r="B58" s="40" t="s">
        <v>195</v>
      </c>
      <c r="C58" s="40" t="s">
        <v>196</v>
      </c>
      <c r="D58" s="65"/>
      <c r="E58" s="40" t="s">
        <v>197</v>
      </c>
      <c r="F58" s="40" t="s">
        <v>47</v>
      </c>
      <c r="G58" s="97" t="s">
        <v>15</v>
      </c>
      <c r="H58" s="45">
        <v>3.3</v>
      </c>
      <c r="I58" s="55">
        <f>VLOOKUP(G58,CongLaoDong!$B$8:$F$12,5,0)</f>
        <v>1897500</v>
      </c>
      <c r="J58" s="59">
        <f t="shared" si="6"/>
        <v>6261750</v>
      </c>
      <c r="K58" s="67"/>
      <c r="L58" s="68"/>
      <c r="M58" s="64"/>
    </row>
    <row r="59">
      <c r="A59" s="118">
        <v>50.0</v>
      </c>
      <c r="B59" s="119" t="s">
        <v>198</v>
      </c>
      <c r="C59" s="119" t="s">
        <v>199</v>
      </c>
      <c r="D59" s="120"/>
      <c r="E59" s="119" t="s">
        <v>200</v>
      </c>
      <c r="F59" s="119" t="s">
        <v>56</v>
      </c>
      <c r="G59" s="121" t="s">
        <v>76</v>
      </c>
      <c r="H59" s="122">
        <v>3.4833333333333334</v>
      </c>
      <c r="I59" s="123">
        <f>VLOOKUP(G59,CongLaoDong!$B$8:$F$12,5,0)</f>
        <v>1138500</v>
      </c>
      <c r="J59" s="124">
        <f t="shared" si="6"/>
        <v>3965775</v>
      </c>
      <c r="K59" s="67"/>
      <c r="L59" s="68"/>
      <c r="M59" s="64"/>
    </row>
    <row r="60" ht="14.25" customHeight="1">
      <c r="A60" s="125"/>
      <c r="B60" s="126"/>
      <c r="C60" s="126"/>
      <c r="D60" s="126"/>
      <c r="E60" s="126"/>
      <c r="F60" s="126"/>
      <c r="G60" s="126"/>
      <c r="H60" s="127"/>
      <c r="I60" s="127"/>
      <c r="J60" s="127"/>
      <c r="K60" s="128"/>
      <c r="L60" s="129"/>
      <c r="M60" s="64"/>
    </row>
    <row r="61" ht="14.25" customHeight="1">
      <c r="A61" s="130"/>
      <c r="B61" s="131"/>
      <c r="C61" s="131"/>
      <c r="D61" s="131"/>
      <c r="E61" s="131"/>
      <c r="F61" s="131"/>
      <c r="G61" s="131"/>
      <c r="H61" s="132"/>
      <c r="I61" s="131"/>
      <c r="J61" s="133"/>
      <c r="K61" s="130"/>
      <c r="L61" s="131"/>
      <c r="M61" s="133"/>
    </row>
  </sheetData>
  <mergeCells count="15">
    <mergeCell ref="D30:D42"/>
    <mergeCell ref="A43:D43"/>
    <mergeCell ref="D44:D53"/>
    <mergeCell ref="A51:A53"/>
    <mergeCell ref="B51:B53"/>
    <mergeCell ref="E51:E53"/>
    <mergeCell ref="A54:D54"/>
    <mergeCell ref="D55:D59"/>
    <mergeCell ref="A2:D2"/>
    <mergeCell ref="D3:D10"/>
    <mergeCell ref="A11:D11"/>
    <mergeCell ref="D12:D19"/>
    <mergeCell ref="A20:D20"/>
    <mergeCell ref="D21:D28"/>
    <mergeCell ref="A29:D29"/>
  </mergeCells>
  <printOptions/>
  <pageMargins bottom="0.7480314960629921" footer="0.0" header="0.0" left="0.7086614173228347" right="0.7086614173228347" top="0.7480314960629921"/>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14"/>
    <col customWidth="1" min="2" max="2" width="20.86"/>
    <col customWidth="1" min="3" max="3" width="25.14"/>
    <col customWidth="1" min="4" max="4" width="12.71"/>
    <col customWidth="1" min="5" max="5" width="11.57"/>
    <col customWidth="1" min="6" max="6" width="14.71"/>
    <col customWidth="1" min="7" max="7" width="17.71"/>
    <col customWidth="1" min="8" max="8" width="19.0"/>
  </cols>
  <sheetData>
    <row r="1">
      <c r="A1" s="4" t="s">
        <v>0</v>
      </c>
      <c r="H1" s="8"/>
    </row>
    <row r="2" ht="15.0" customHeight="1">
      <c r="A2" s="10" t="s">
        <v>10</v>
      </c>
      <c r="B2" s="11" t="s">
        <v>11</v>
      </c>
      <c r="C2" s="12"/>
      <c r="D2" s="12"/>
      <c r="E2" s="12"/>
      <c r="F2" s="12"/>
      <c r="G2" s="12"/>
      <c r="H2" s="8"/>
    </row>
    <row r="3" ht="15.0" customHeight="1">
      <c r="A3" s="10" t="s">
        <v>12</v>
      </c>
      <c r="B3" s="11" t="s">
        <v>13</v>
      </c>
      <c r="C3" s="12"/>
      <c r="D3" s="12"/>
      <c r="E3" s="12"/>
      <c r="F3" s="12"/>
      <c r="G3" s="12"/>
      <c r="H3" s="8"/>
    </row>
    <row r="4" ht="15.0" customHeight="1">
      <c r="A4" s="10" t="s">
        <v>14</v>
      </c>
      <c r="B4" s="11" t="s">
        <v>15</v>
      </c>
      <c r="C4" s="12"/>
      <c r="D4" s="12"/>
      <c r="E4" s="12"/>
      <c r="F4" s="12"/>
      <c r="G4" s="12"/>
      <c r="H4" s="8"/>
    </row>
    <row r="5" ht="15.0" customHeight="1">
      <c r="A5" s="14" t="s">
        <v>20</v>
      </c>
      <c r="B5" s="14"/>
      <c r="C5" s="14"/>
      <c r="D5" s="14"/>
      <c r="E5" s="17">
        <v>2530000.0</v>
      </c>
      <c r="F5" s="14"/>
      <c r="G5" s="19"/>
      <c r="H5" s="21"/>
    </row>
    <row r="6">
      <c r="A6" s="23"/>
      <c r="B6" s="23"/>
      <c r="C6" s="23"/>
      <c r="D6" s="23"/>
      <c r="E6" s="23"/>
      <c r="F6" s="23"/>
      <c r="G6" s="23"/>
      <c r="H6" s="23"/>
    </row>
    <row r="7" ht="34.5" customHeight="1">
      <c r="A7" s="26" t="s">
        <v>21</v>
      </c>
      <c r="B7" s="26" t="s">
        <v>30</v>
      </c>
      <c r="C7" s="26" t="s">
        <v>8</v>
      </c>
      <c r="D7" s="26" t="s">
        <v>31</v>
      </c>
      <c r="E7" s="26" t="s">
        <v>32</v>
      </c>
      <c r="F7" s="26" t="s">
        <v>33</v>
      </c>
      <c r="G7" s="26" t="s">
        <v>34</v>
      </c>
      <c r="H7" s="23"/>
    </row>
    <row r="8" ht="14.25" customHeight="1">
      <c r="A8" s="29">
        <v>1.0</v>
      </c>
      <c r="B8" s="33" t="s">
        <v>15</v>
      </c>
      <c r="C8" s="29" t="s">
        <v>35</v>
      </c>
      <c r="D8" s="48">
        <f>SUMIF(ChuyenDe!$G$3:$G$59, $B8, ChuyenDe!$H$3:$H$59)</f>
        <v>55.18333333</v>
      </c>
      <c r="E8" s="29">
        <v>0.75</v>
      </c>
      <c r="F8" s="53">
        <f t="shared" ref="F8:F12" si="1">E8*$E$5</f>
        <v>1897500</v>
      </c>
      <c r="G8" s="53">
        <f t="shared" ref="G8:G12" si="2">D8*F8</f>
        <v>104710375</v>
      </c>
      <c r="H8" s="36"/>
    </row>
    <row r="9">
      <c r="A9" s="29">
        <v>2.0</v>
      </c>
      <c r="B9" s="58" t="s">
        <v>55</v>
      </c>
      <c r="C9" s="29" t="s">
        <v>56</v>
      </c>
      <c r="D9" s="48">
        <f>SUMIF(ChuyenDe!$G$3:$G$59, $B9, ChuyenDe!$H$3:$H$59)</f>
        <v>53.9</v>
      </c>
      <c r="E9" s="29">
        <v>0.45</v>
      </c>
      <c r="F9" s="53">
        <f t="shared" si="1"/>
        <v>1138500</v>
      </c>
      <c r="G9" s="53">
        <f t="shared" si="2"/>
        <v>61365150</v>
      </c>
      <c r="H9" s="36"/>
    </row>
    <row r="10">
      <c r="A10" s="29">
        <v>3.0</v>
      </c>
      <c r="B10" s="33" t="s">
        <v>64</v>
      </c>
      <c r="C10" s="29" t="s">
        <v>56</v>
      </c>
      <c r="D10" s="48">
        <f>SUMIF(ChuyenDe!$G$3:$G$59, $B10, ChuyenDe!$H$3:$H$59)</f>
        <v>52.8</v>
      </c>
      <c r="E10" s="29">
        <v>0.45</v>
      </c>
      <c r="F10" s="53">
        <f t="shared" si="1"/>
        <v>1138500</v>
      </c>
      <c r="G10" s="53">
        <f t="shared" si="2"/>
        <v>60112800</v>
      </c>
      <c r="H10" s="36"/>
    </row>
    <row r="11">
      <c r="A11" s="29">
        <v>4.0</v>
      </c>
      <c r="B11" s="33" t="s">
        <v>69</v>
      </c>
      <c r="C11" s="29" t="s">
        <v>56</v>
      </c>
      <c r="D11" s="48">
        <f>SUMIF(ChuyenDe!$G$3:$G$59, $B11, ChuyenDe!$H$3:$H$59)</f>
        <v>50.41666667</v>
      </c>
      <c r="E11" s="29">
        <v>0.45</v>
      </c>
      <c r="F11" s="53">
        <f t="shared" si="1"/>
        <v>1138500</v>
      </c>
      <c r="G11" s="53">
        <f t="shared" si="2"/>
        <v>57399375</v>
      </c>
      <c r="H11" s="36"/>
    </row>
    <row r="12">
      <c r="A12" s="29">
        <v>5.0</v>
      </c>
      <c r="B12" s="58" t="s">
        <v>76</v>
      </c>
      <c r="C12" s="29" t="s">
        <v>56</v>
      </c>
      <c r="D12" s="48">
        <f>SUMIF(ChuyenDe!$G$3:$G$59, $B12, ChuyenDe!$H$3:$H$59)</f>
        <v>52.06666667</v>
      </c>
      <c r="E12" s="29">
        <v>0.45</v>
      </c>
      <c r="F12" s="53">
        <f t="shared" si="1"/>
        <v>1138500</v>
      </c>
      <c r="G12" s="53">
        <f t="shared" si="2"/>
        <v>59277900</v>
      </c>
      <c r="H12" s="36"/>
    </row>
    <row r="13">
      <c r="A13" s="23"/>
      <c r="B13" s="23"/>
      <c r="C13" s="23"/>
      <c r="D13" s="73">
        <f>SUM(D8:D12)</f>
        <v>264.3666667</v>
      </c>
      <c r="E13" s="53"/>
      <c r="F13" s="53">
        <f>AVERAGE(F8:F12)</f>
        <v>1290300</v>
      </c>
      <c r="G13" s="75">
        <f>SUM(G8:G12)</f>
        <v>342865600</v>
      </c>
      <c r="H13" s="76"/>
    </row>
    <row r="14">
      <c r="A14" s="23"/>
      <c r="B14" s="77" t="s">
        <v>87</v>
      </c>
      <c r="C14" s="23"/>
      <c r="D14" s="23"/>
      <c r="E14" s="23"/>
      <c r="F14" s="23"/>
      <c r="G14" s="23"/>
      <c r="H14" s="23"/>
    </row>
    <row r="15">
      <c r="A15" s="23"/>
      <c r="B15" s="23"/>
      <c r="C15" s="23"/>
      <c r="D15" s="23"/>
      <c r="E15" s="23"/>
      <c r="F15" s="23"/>
      <c r="G15" s="23"/>
      <c r="H15" s="23"/>
    </row>
    <row r="16">
      <c r="A16" s="23"/>
      <c r="B16" s="23"/>
      <c r="C16" s="23"/>
      <c r="D16" s="79" t="s">
        <v>67</v>
      </c>
      <c r="H16" s="23"/>
    </row>
    <row r="17">
      <c r="A17" s="23"/>
      <c r="B17" s="80" t="s">
        <v>68</v>
      </c>
      <c r="C17" s="23"/>
      <c r="D17" s="81" t="s">
        <v>86</v>
      </c>
      <c r="H17" s="23"/>
    </row>
    <row r="18">
      <c r="A18" s="23"/>
      <c r="B18" s="82"/>
      <c r="C18" s="23"/>
      <c r="D18" s="23"/>
      <c r="E18" s="23"/>
      <c r="F18" s="23"/>
      <c r="G18" s="23"/>
      <c r="H18" s="23"/>
    </row>
    <row r="19">
      <c r="A19" s="23"/>
      <c r="B19" s="23"/>
      <c r="C19" s="23"/>
      <c r="D19" s="23"/>
      <c r="E19" s="23"/>
      <c r="F19" s="23"/>
      <c r="G19" s="23"/>
      <c r="H19" s="23"/>
    </row>
    <row r="20">
      <c r="A20" s="23"/>
      <c r="B20" s="23"/>
      <c r="C20" s="23"/>
      <c r="D20" s="23"/>
      <c r="E20" s="23"/>
      <c r="F20" s="23"/>
      <c r="G20" s="23"/>
      <c r="H20" s="23"/>
    </row>
    <row r="21">
      <c r="A21" s="23"/>
      <c r="B21" s="23"/>
      <c r="C21" s="23"/>
      <c r="D21" s="23"/>
      <c r="E21" s="23"/>
      <c r="F21" s="23"/>
      <c r="G21" s="23"/>
      <c r="H21" s="23"/>
    </row>
    <row r="22">
      <c r="A22" s="23"/>
      <c r="B22" s="23"/>
      <c r="C22" s="23"/>
      <c r="D22" s="23"/>
      <c r="E22" s="23"/>
      <c r="F22" s="23"/>
      <c r="G22" s="23"/>
      <c r="H22" s="23"/>
    </row>
    <row r="23">
      <c r="A23" s="23"/>
      <c r="B23" s="23"/>
      <c r="C23" s="23"/>
      <c r="D23" s="23"/>
      <c r="E23" s="23"/>
      <c r="F23" s="23"/>
      <c r="G23" s="23"/>
      <c r="H23" s="23"/>
    </row>
  </sheetData>
  <mergeCells count="3">
    <mergeCell ref="A1:G1"/>
    <mergeCell ref="D16:G16"/>
    <mergeCell ref="D17:G17"/>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1.0"/>
    <col customWidth="1" min="2" max="2" width="45.43"/>
  </cols>
  <sheetData>
    <row r="1">
      <c r="A1" s="6" t="s">
        <v>3</v>
      </c>
      <c r="G1" s="7"/>
    </row>
    <row r="2">
      <c r="A2" s="9" t="s">
        <v>10</v>
      </c>
      <c r="B2" s="11" t="s">
        <v>11</v>
      </c>
      <c r="C2" s="5"/>
      <c r="D2" s="5"/>
      <c r="E2" s="5"/>
      <c r="F2" s="5"/>
      <c r="G2" s="7"/>
    </row>
    <row r="3">
      <c r="A3" s="9" t="s">
        <v>12</v>
      </c>
      <c r="B3" s="11" t="s">
        <v>13</v>
      </c>
      <c r="C3" s="5"/>
      <c r="D3" s="5"/>
      <c r="E3" s="5"/>
      <c r="F3" s="5"/>
      <c r="G3" s="7"/>
    </row>
    <row r="4">
      <c r="A4" s="9" t="s">
        <v>14</v>
      </c>
      <c r="B4" s="11" t="s">
        <v>15</v>
      </c>
      <c r="C4" s="5"/>
      <c r="D4" s="5"/>
      <c r="E4" s="5"/>
      <c r="F4" s="5"/>
      <c r="G4" s="7"/>
    </row>
    <row r="5">
      <c r="A5" s="31" t="s">
        <v>23</v>
      </c>
      <c r="B5" s="7"/>
      <c r="C5" s="7"/>
      <c r="D5" s="7"/>
      <c r="E5" s="36"/>
      <c r="F5" s="7"/>
      <c r="G5" s="7"/>
    </row>
    <row r="6">
      <c r="A6" s="5"/>
      <c r="B6" s="5"/>
      <c r="C6" s="5"/>
      <c r="D6" s="5"/>
      <c r="E6" s="5"/>
      <c r="F6" s="5"/>
      <c r="G6" s="7"/>
    </row>
    <row r="7">
      <c r="A7" s="41" t="s">
        <v>1</v>
      </c>
      <c r="B7" s="41" t="s">
        <v>38</v>
      </c>
      <c r="C7" s="41" t="s">
        <v>39</v>
      </c>
      <c r="D7" s="41" t="s">
        <v>40</v>
      </c>
      <c r="E7" s="41" t="s">
        <v>42</v>
      </c>
      <c r="F7" s="41" t="s">
        <v>43</v>
      </c>
      <c r="G7" s="7"/>
    </row>
    <row r="8">
      <c r="A8" s="41" t="s">
        <v>44</v>
      </c>
      <c r="B8" s="46" t="s">
        <v>45</v>
      </c>
      <c r="C8" s="49"/>
      <c r="D8" s="49"/>
      <c r="E8" s="50"/>
      <c r="F8" s="51"/>
      <c r="G8" s="7"/>
    </row>
    <row r="9">
      <c r="A9" s="54">
        <v>1.0</v>
      </c>
      <c r="B9" s="56" t="s">
        <v>50</v>
      </c>
      <c r="C9" s="56" t="s">
        <v>51</v>
      </c>
      <c r="D9" s="54">
        <v>2.0</v>
      </c>
      <c r="E9" s="57">
        <v>2450000.0</v>
      </c>
      <c r="F9" s="57">
        <v>4900000.0</v>
      </c>
      <c r="G9" s="7"/>
    </row>
    <row r="10">
      <c r="A10" s="41" t="s">
        <v>53</v>
      </c>
      <c r="B10" s="46" t="s">
        <v>54</v>
      </c>
      <c r="C10" s="50"/>
      <c r="D10" s="50"/>
      <c r="E10" s="57"/>
      <c r="F10" s="57"/>
      <c r="G10" s="7"/>
    </row>
    <row r="11">
      <c r="A11" s="54">
        <v>1.0</v>
      </c>
      <c r="B11" s="56" t="s">
        <v>50</v>
      </c>
      <c r="C11" s="56" t="s">
        <v>51</v>
      </c>
      <c r="D11" s="54">
        <v>2.0</v>
      </c>
      <c r="E11" s="57">
        <v>2450000.0</v>
      </c>
      <c r="F11" s="57">
        <v>4900000.0</v>
      </c>
      <c r="G11" s="7"/>
    </row>
    <row r="12">
      <c r="A12" s="41" t="s">
        <v>57</v>
      </c>
      <c r="B12" s="46" t="s">
        <v>58</v>
      </c>
      <c r="C12" s="49"/>
      <c r="D12" s="49"/>
      <c r="E12" s="57"/>
      <c r="F12" s="57"/>
      <c r="G12" s="7"/>
    </row>
    <row r="13">
      <c r="A13" s="54">
        <v>1.0</v>
      </c>
      <c r="B13" s="56" t="s">
        <v>59</v>
      </c>
      <c r="C13" s="56" t="s">
        <v>60</v>
      </c>
      <c r="D13" s="54">
        <v>2.0</v>
      </c>
      <c r="E13" s="57">
        <v>2380000.0</v>
      </c>
      <c r="F13" s="57">
        <v>4760000.0</v>
      </c>
      <c r="G13" s="7"/>
    </row>
    <row r="14">
      <c r="A14" s="56">
        <v>2.0</v>
      </c>
      <c r="B14" s="56" t="s">
        <v>62</v>
      </c>
      <c r="C14" s="56" t="s">
        <v>51</v>
      </c>
      <c r="D14" s="56">
        <v>5.0</v>
      </c>
      <c r="E14" s="57">
        <v>1750000.0</v>
      </c>
      <c r="F14" s="57">
        <v>8750000.0</v>
      </c>
      <c r="G14" s="7"/>
    </row>
    <row r="15">
      <c r="A15" s="41" t="s">
        <v>63</v>
      </c>
      <c r="B15" s="46" t="s">
        <v>66</v>
      </c>
      <c r="C15" s="49"/>
      <c r="D15" s="49"/>
      <c r="E15" s="57"/>
      <c r="F15" s="57"/>
      <c r="G15" s="7"/>
    </row>
    <row r="16">
      <c r="A16" s="54">
        <v>1.0</v>
      </c>
      <c r="B16" s="56" t="s">
        <v>62</v>
      </c>
      <c r="C16" s="56" t="s">
        <v>51</v>
      </c>
      <c r="D16" s="54">
        <v>5.0</v>
      </c>
      <c r="E16" s="57">
        <v>1750000.0</v>
      </c>
      <c r="F16" s="57">
        <v>8750000.0</v>
      </c>
      <c r="G16" s="7"/>
    </row>
    <row r="17">
      <c r="A17" s="54">
        <v>2.0</v>
      </c>
      <c r="B17" s="56" t="s">
        <v>70</v>
      </c>
      <c r="C17" s="56" t="s">
        <v>71</v>
      </c>
      <c r="D17" s="54">
        <v>1.0</v>
      </c>
      <c r="E17" s="57">
        <v>850000.0</v>
      </c>
      <c r="F17" s="57">
        <v>850000.0</v>
      </c>
      <c r="G17" s="7"/>
    </row>
    <row r="18">
      <c r="A18" s="41" t="s">
        <v>72</v>
      </c>
      <c r="B18" s="46" t="s">
        <v>73</v>
      </c>
      <c r="C18" s="49"/>
      <c r="D18" s="49"/>
      <c r="E18" s="57"/>
      <c r="F18" s="57"/>
      <c r="G18" s="7"/>
    </row>
    <row r="19">
      <c r="A19" s="54">
        <v>1.0</v>
      </c>
      <c r="B19" s="56" t="s">
        <v>74</v>
      </c>
      <c r="C19" s="56" t="s">
        <v>60</v>
      </c>
      <c r="D19" s="54">
        <v>2.0</v>
      </c>
      <c r="E19" s="57">
        <v>3250000.0</v>
      </c>
      <c r="F19" s="57">
        <v>6500000.0</v>
      </c>
      <c r="G19" s="7"/>
    </row>
    <row r="20">
      <c r="A20" s="54">
        <v>2.0</v>
      </c>
      <c r="B20" s="56" t="s">
        <v>62</v>
      </c>
      <c r="C20" s="56" t="s">
        <v>51</v>
      </c>
      <c r="D20" s="54">
        <v>5.0</v>
      </c>
      <c r="E20" s="57">
        <v>1750000.0</v>
      </c>
      <c r="F20" s="57">
        <v>8750000.0</v>
      </c>
      <c r="G20" s="7"/>
    </row>
    <row r="21">
      <c r="A21" s="54">
        <v>3.0</v>
      </c>
      <c r="B21" s="56" t="s">
        <v>75</v>
      </c>
      <c r="C21" s="56" t="s">
        <v>60</v>
      </c>
      <c r="D21" s="54">
        <v>2.0</v>
      </c>
      <c r="E21" s="57">
        <v>2850000.0</v>
      </c>
      <c r="F21" s="57">
        <v>5700000.0</v>
      </c>
      <c r="G21" s="7"/>
    </row>
    <row r="22">
      <c r="A22" s="41" t="s">
        <v>77</v>
      </c>
      <c r="B22" s="46" t="s">
        <v>78</v>
      </c>
      <c r="C22" s="49"/>
      <c r="D22" s="49"/>
      <c r="E22" s="57"/>
      <c r="F22" s="57"/>
      <c r="G22" s="7"/>
    </row>
    <row r="23">
      <c r="A23" s="54">
        <v>1.0</v>
      </c>
      <c r="B23" s="56" t="s">
        <v>62</v>
      </c>
      <c r="C23" s="56" t="s">
        <v>51</v>
      </c>
      <c r="D23" s="54">
        <v>5.0</v>
      </c>
      <c r="E23" s="57">
        <v>1750000.0</v>
      </c>
      <c r="F23" s="57">
        <v>8750000.0</v>
      </c>
      <c r="G23" s="7"/>
    </row>
    <row r="24">
      <c r="A24" s="54">
        <v>2.0</v>
      </c>
      <c r="B24" s="56" t="s">
        <v>80</v>
      </c>
      <c r="C24" s="56" t="s">
        <v>60</v>
      </c>
      <c r="D24" s="54">
        <v>2.0</v>
      </c>
      <c r="E24" s="57">
        <v>6637500.0</v>
      </c>
      <c r="F24" s="57">
        <v>1.3275E7</v>
      </c>
      <c r="G24" s="7"/>
    </row>
    <row r="25">
      <c r="A25" s="69" t="s">
        <v>81</v>
      </c>
      <c r="B25" s="70"/>
      <c r="C25" s="70"/>
      <c r="D25" s="70"/>
      <c r="E25" s="71"/>
      <c r="F25" s="72">
        <v>8.0325E7</v>
      </c>
      <c r="G25" s="7"/>
    </row>
    <row r="26">
      <c r="A26" s="5"/>
      <c r="B26" s="74"/>
      <c r="C26" s="5"/>
      <c r="D26" s="5"/>
      <c r="E26" s="5"/>
      <c r="F26" s="5"/>
      <c r="G26" s="7"/>
    </row>
    <row r="27">
      <c r="A27" s="5"/>
      <c r="B27" s="63" t="s">
        <v>83</v>
      </c>
      <c r="C27" s="5"/>
      <c r="D27" s="5"/>
      <c r="E27" s="5"/>
      <c r="F27" s="5"/>
      <c r="G27" s="7"/>
    </row>
    <row r="28">
      <c r="A28" s="5"/>
      <c r="B28" s="5"/>
      <c r="C28" s="5"/>
      <c r="D28" s="5"/>
      <c r="E28" s="5"/>
      <c r="F28" s="5"/>
      <c r="G28" s="7"/>
    </row>
    <row r="29">
      <c r="A29" s="5"/>
      <c r="B29" s="5"/>
      <c r="C29" s="5"/>
      <c r="D29" s="66" t="s">
        <v>67</v>
      </c>
      <c r="G29" s="7"/>
    </row>
    <row r="30">
      <c r="A30" s="5"/>
      <c r="B30" s="2" t="s">
        <v>68</v>
      </c>
      <c r="C30" s="5"/>
      <c r="D30" s="2" t="s">
        <v>86</v>
      </c>
      <c r="G30" s="7"/>
    </row>
    <row r="31">
      <c r="A31" s="5"/>
      <c r="B31" s="5"/>
      <c r="C31" s="5"/>
      <c r="D31" s="5"/>
      <c r="E31" s="5"/>
      <c r="F31" s="5"/>
      <c r="G31" s="7"/>
    </row>
    <row r="32">
      <c r="A32" s="5"/>
      <c r="B32" s="5"/>
      <c r="C32" s="5"/>
      <c r="D32" s="5"/>
      <c r="E32" s="5"/>
      <c r="F32" s="5"/>
      <c r="G32" s="7"/>
    </row>
    <row r="33">
      <c r="A33" s="5"/>
      <c r="B33" s="5"/>
      <c r="C33" s="5"/>
      <c r="D33" s="5"/>
      <c r="E33" s="5"/>
      <c r="F33" s="5"/>
      <c r="G33" s="7"/>
    </row>
    <row r="34">
      <c r="A34" s="5"/>
      <c r="B34" s="5"/>
      <c r="C34" s="5"/>
      <c r="D34" s="5"/>
      <c r="E34" s="5"/>
      <c r="F34" s="5"/>
      <c r="G34" s="7"/>
    </row>
    <row r="35">
      <c r="A35" s="5"/>
      <c r="B35" s="5"/>
      <c r="C35" s="5"/>
      <c r="D35" s="5"/>
      <c r="E35" s="5"/>
      <c r="F35" s="5"/>
      <c r="G35" s="7"/>
    </row>
  </sheetData>
  <mergeCells count="8">
    <mergeCell ref="D29:F29"/>
    <mergeCell ref="D30:F30"/>
    <mergeCell ref="A1:F1"/>
    <mergeCell ref="B8:D8"/>
    <mergeCell ref="B12:D12"/>
    <mergeCell ref="B15:D15"/>
    <mergeCell ref="B18:D18"/>
    <mergeCell ref="B22:D2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4.0"/>
    <col customWidth="1" min="2" max="3" width="49.43"/>
    <col customWidth="1" min="4" max="5" width="17.43"/>
  </cols>
  <sheetData>
    <row r="1">
      <c r="A1" s="78" t="s">
        <v>88</v>
      </c>
      <c r="E1" s="78"/>
    </row>
    <row r="2">
      <c r="A2" s="83" t="s">
        <v>10</v>
      </c>
      <c r="B2" s="11" t="s">
        <v>11</v>
      </c>
      <c r="C2" s="84"/>
      <c r="D2" s="85"/>
      <c r="E2" s="85"/>
    </row>
    <row r="3">
      <c r="A3" s="83" t="s">
        <v>12</v>
      </c>
      <c r="B3" s="11" t="s">
        <v>13</v>
      </c>
      <c r="C3" s="84"/>
      <c r="D3" s="85"/>
      <c r="E3" s="85"/>
    </row>
    <row r="4">
      <c r="A4" s="83" t="s">
        <v>14</v>
      </c>
      <c r="B4" s="11" t="s">
        <v>15</v>
      </c>
      <c r="C4" s="84"/>
      <c r="D4" s="85"/>
      <c r="E4" s="85"/>
    </row>
    <row r="5">
      <c r="A5" s="83" t="s">
        <v>92</v>
      </c>
      <c r="B5" s="84"/>
      <c r="C5" s="84"/>
      <c r="D5" s="86"/>
      <c r="E5" s="86"/>
    </row>
    <row r="6">
      <c r="A6" s="85"/>
      <c r="B6" s="84"/>
      <c r="C6" s="84"/>
      <c r="D6" s="85"/>
      <c r="E6" s="85"/>
    </row>
    <row r="7">
      <c r="A7" s="88" t="s">
        <v>1</v>
      </c>
      <c r="B7" s="41" t="s">
        <v>95</v>
      </c>
      <c r="C7" s="41" t="s">
        <v>96</v>
      </c>
      <c r="D7" s="88" t="s">
        <v>97</v>
      </c>
      <c r="E7" s="89"/>
    </row>
    <row r="8">
      <c r="A8" s="88" t="s">
        <v>99</v>
      </c>
      <c r="B8" s="91"/>
      <c r="C8" s="92"/>
      <c r="D8" s="94"/>
      <c r="E8" s="85"/>
    </row>
    <row r="9">
      <c r="A9" s="56">
        <v>1.0</v>
      </c>
      <c r="B9" s="96" t="s">
        <v>102</v>
      </c>
      <c r="C9" s="96" t="s">
        <v>105</v>
      </c>
      <c r="D9" s="98">
        <v>1500000.0</v>
      </c>
      <c r="E9" s="99"/>
    </row>
    <row r="10">
      <c r="A10" s="56">
        <v>2.0</v>
      </c>
      <c r="B10" s="96" t="s">
        <v>106</v>
      </c>
      <c r="C10" s="96" t="s">
        <v>107</v>
      </c>
      <c r="D10" s="98">
        <v>3500000.0</v>
      </c>
      <c r="E10" s="99"/>
    </row>
    <row r="11">
      <c r="A11" s="88" t="s">
        <v>108</v>
      </c>
      <c r="B11" s="91"/>
      <c r="C11" s="92"/>
      <c r="D11" s="100"/>
      <c r="E11" s="101"/>
    </row>
    <row r="12">
      <c r="A12" s="56">
        <v>1.0</v>
      </c>
      <c r="B12" s="96" t="s">
        <v>102</v>
      </c>
      <c r="C12" s="96" t="s">
        <v>109</v>
      </c>
      <c r="D12" s="98">
        <v>2000000.0</v>
      </c>
      <c r="E12" s="99"/>
    </row>
    <row r="13">
      <c r="A13" s="56">
        <v>2.0</v>
      </c>
      <c r="B13" s="96" t="s">
        <v>106</v>
      </c>
      <c r="C13" s="96" t="s">
        <v>110</v>
      </c>
      <c r="D13" s="98">
        <v>3500000.0</v>
      </c>
      <c r="E13" s="99"/>
    </row>
    <row r="14">
      <c r="A14" s="88" t="s">
        <v>111</v>
      </c>
      <c r="B14" s="91"/>
      <c r="C14" s="92"/>
      <c r="D14" s="100"/>
      <c r="E14" s="101"/>
    </row>
    <row r="15">
      <c r="A15" s="56">
        <v>1.0</v>
      </c>
      <c r="B15" s="96" t="s">
        <v>113</v>
      </c>
      <c r="C15" s="96" t="s">
        <v>114</v>
      </c>
      <c r="D15" s="98">
        <v>350000.0</v>
      </c>
      <c r="E15" s="99"/>
    </row>
    <row r="16">
      <c r="A16" s="56">
        <v>2.0</v>
      </c>
      <c r="B16" s="96" t="s">
        <v>115</v>
      </c>
      <c r="C16" s="96" t="s">
        <v>116</v>
      </c>
      <c r="D16" s="98">
        <v>1.0E7</v>
      </c>
      <c r="E16" s="99"/>
    </row>
    <row r="17">
      <c r="A17" s="88" t="s">
        <v>117</v>
      </c>
      <c r="B17" s="91"/>
      <c r="C17" s="102"/>
      <c r="D17" s="100"/>
      <c r="E17" s="101"/>
    </row>
    <row r="18">
      <c r="A18" s="56">
        <v>1.0</v>
      </c>
      <c r="B18" s="96" t="s">
        <v>113</v>
      </c>
      <c r="C18" s="96" t="s">
        <v>118</v>
      </c>
      <c r="D18" s="98">
        <v>350000.0</v>
      </c>
      <c r="E18" s="99"/>
    </row>
    <row r="19">
      <c r="A19" s="56">
        <v>2.0</v>
      </c>
      <c r="B19" s="96" t="s">
        <v>115</v>
      </c>
      <c r="C19" s="96" t="s">
        <v>120</v>
      </c>
      <c r="D19" s="98">
        <v>1.0E7</v>
      </c>
      <c r="E19" s="99"/>
    </row>
    <row r="20">
      <c r="A20" s="88" t="s">
        <v>121</v>
      </c>
      <c r="B20" s="91"/>
      <c r="C20" s="102"/>
      <c r="D20" s="100"/>
      <c r="E20" s="101"/>
    </row>
    <row r="21">
      <c r="A21" s="56">
        <v>1.0</v>
      </c>
      <c r="B21" s="96" t="s">
        <v>113</v>
      </c>
      <c r="C21" s="96" t="s">
        <v>122</v>
      </c>
      <c r="D21" s="98">
        <v>350000.0</v>
      </c>
      <c r="E21" s="99"/>
    </row>
    <row r="22">
      <c r="A22" s="56">
        <v>2.0</v>
      </c>
      <c r="B22" s="96" t="s">
        <v>115</v>
      </c>
      <c r="C22" s="96" t="s">
        <v>123</v>
      </c>
      <c r="D22" s="98">
        <v>1.0E7</v>
      </c>
      <c r="E22" s="99"/>
    </row>
    <row r="23">
      <c r="A23" s="88" t="s">
        <v>124</v>
      </c>
      <c r="B23" s="91"/>
      <c r="C23" s="102"/>
      <c r="D23" s="100"/>
      <c r="E23" s="101"/>
    </row>
    <row r="24">
      <c r="A24" s="56">
        <v>1.0</v>
      </c>
      <c r="B24" s="96" t="s">
        <v>113</v>
      </c>
      <c r="C24" s="96" t="s">
        <v>125</v>
      </c>
      <c r="D24" s="98">
        <v>350000.0</v>
      </c>
      <c r="E24" s="99"/>
    </row>
    <row r="25">
      <c r="A25" s="56">
        <v>2.0</v>
      </c>
      <c r="B25" s="96" t="s">
        <v>115</v>
      </c>
      <c r="C25" s="96" t="s">
        <v>128</v>
      </c>
      <c r="D25" s="98">
        <v>1.0E7</v>
      </c>
      <c r="E25" s="99"/>
    </row>
    <row r="26">
      <c r="A26" s="88" t="s">
        <v>81</v>
      </c>
      <c r="B26" s="92"/>
      <c r="C26" s="102"/>
      <c r="D26" s="103">
        <f>sum(D9:D25)</f>
        <v>51900000</v>
      </c>
      <c r="E26" s="104"/>
    </row>
    <row r="27">
      <c r="A27" s="85"/>
      <c r="B27" s="84"/>
      <c r="C27" s="84"/>
      <c r="D27" s="105"/>
      <c r="E27" s="105"/>
    </row>
    <row r="28">
      <c r="A28" s="106" t="s">
        <v>131</v>
      </c>
      <c r="B28" s="84"/>
      <c r="C28" s="84"/>
      <c r="D28" s="85"/>
      <c r="E28" s="85"/>
    </row>
    <row r="29">
      <c r="A29" s="85"/>
      <c r="B29" s="84"/>
      <c r="C29" s="84"/>
      <c r="D29" s="85"/>
      <c r="E29" s="85"/>
    </row>
    <row r="30">
      <c r="A30" s="85"/>
      <c r="B30" s="84"/>
      <c r="C30" s="107" t="s">
        <v>67</v>
      </c>
    </row>
    <row r="31">
      <c r="A31" s="85"/>
      <c r="B31" s="78" t="s">
        <v>68</v>
      </c>
      <c r="C31" s="78" t="s">
        <v>86</v>
      </c>
    </row>
    <row r="32">
      <c r="A32" s="85"/>
      <c r="B32" s="84"/>
      <c r="C32" s="84"/>
      <c r="D32" s="85"/>
      <c r="E32" s="85"/>
    </row>
    <row r="33">
      <c r="A33" s="85"/>
      <c r="B33" s="84"/>
      <c r="C33" s="84"/>
      <c r="D33" s="85"/>
      <c r="E33" s="85"/>
    </row>
    <row r="34">
      <c r="A34" s="85"/>
      <c r="B34" s="84"/>
      <c r="C34" s="84"/>
      <c r="D34" s="85"/>
      <c r="E34" s="85"/>
    </row>
    <row r="35">
      <c r="A35" s="85"/>
      <c r="B35" s="84"/>
      <c r="C35" s="84"/>
      <c r="D35" s="85"/>
      <c r="E35" s="85"/>
    </row>
    <row r="36">
      <c r="A36" s="85"/>
      <c r="B36" s="84"/>
      <c r="C36" s="84"/>
      <c r="D36" s="85"/>
      <c r="E36" s="85"/>
    </row>
  </sheetData>
  <mergeCells count="3">
    <mergeCell ref="A1:D1"/>
    <mergeCell ref="C30:E30"/>
    <mergeCell ref="C31:E31"/>
  </mergeCells>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7BB4CB8C644074DA8C0D9544B46C45A" ma:contentTypeVersion="10" ma:contentTypeDescription="Create a new document." ma:contentTypeScope="" ma:versionID="6cd6a6fc9d500661ae2c712001574a63">
  <xsd:schema xmlns:xsd="http://www.w3.org/2001/XMLSchema" xmlns:xs="http://www.w3.org/2001/XMLSchema" xmlns:p="http://schemas.microsoft.com/office/2006/metadata/properties" xmlns:ns2="6ab11da6-c5b9-49cb-ad83-ae21ec205006" xmlns:ns3="8620256f-1d2f-43d2-8d17-c8c02a124848" targetNamespace="http://schemas.microsoft.com/office/2006/metadata/properties" ma:root="true" ma:fieldsID="5a8690fc04d69f1d5e321c6403e17232" ns2:_="" ns3:_="">
    <xsd:import namespace="6ab11da6-c5b9-49cb-ad83-ae21ec205006"/>
    <xsd:import namespace="8620256f-1d2f-43d2-8d17-c8c02a12484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ab11da6-c5b9-49cb-ad83-ae21ec20500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546fe6cf-c6c6-432e-bc3b-e1a865b2857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8620256f-1d2f-43d2-8d17-c8c02a124848"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cc5c2c83-07ff-4f8e-b7a6-caccdf7c6711}" ma:internalName="TaxCatchAll" ma:showField="CatchAllData" ma:web="8620256f-1d2f-43d2-8d17-c8c02a12484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ab11da6-c5b9-49cb-ad83-ae21ec205006">
      <Terms xmlns="http://schemas.microsoft.com/office/infopath/2007/PartnerControls"/>
    </lcf76f155ced4ddcb4097134ff3c332f>
    <TaxCatchAll xmlns="8620256f-1d2f-43d2-8d17-c8c02a124848" xsi:nil="true"/>
  </documentManagement>
</p:properties>
</file>

<file path=customXml/itemProps1.xml><?xml version="1.0" encoding="utf-8"?>
<ds:datastoreItem xmlns:ds="http://schemas.openxmlformats.org/officeDocument/2006/customXml" ds:itemID="{51E6C868-FF10-48F7-81E5-28A39D390714}"/>
</file>

<file path=customXml/itemProps2.xml><?xml version="1.0" encoding="utf-8"?>
<ds:datastoreItem xmlns:ds="http://schemas.openxmlformats.org/officeDocument/2006/customXml" ds:itemID="{3BBE6DE6-5558-4E78-85E8-77A91409A229}"/>
</file>

<file path=customXml/itemProps3.xml><?xml version="1.0" encoding="utf-8"?>
<ds:datastoreItem xmlns:ds="http://schemas.openxmlformats.org/officeDocument/2006/customXml" ds:itemID="{BB9DD56A-1D4A-4A4E-94FB-7A57ED268758}"/>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hoalt</dc:creator>
  <dcterms:created xsi:type="dcterms:W3CDTF">2016-11-30T13:58:05Z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0x01010007BB4CB8C644074DA8C0D9544B46C45A</vt:lpwstr>
  </property>
</Properties>
</file>