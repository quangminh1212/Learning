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G:\My Drive\2026-2027\VB2-VHVL\QTDA-20261\TaiLieuNhom\"/>
    </mc:Choice>
  </mc:AlternateContent>
  <xr:revisionPtr revIDLastSave="353" documentId="13_ncr:1_{235762A6-C267-4BA9-B1C0-DB945BB7D823}" xr6:coauthVersionLast="47" xr6:coauthVersionMax="47" xr10:uidLastSave="{19C56B00-CFC0-4329-B446-90F85398906F}"/>
  <bookViews>
    <workbookView xWindow="-110" yWindow="-110" windowWidth="19420" windowHeight="10420" firstSheet="1" xr2:uid="{00000000-000D-0000-FFFF-FFFF00000000}"/>
  </bookViews>
  <sheets>
    <sheet name="WBS_PhanRaCTCongViec" sheetId="1" r:id="rId1"/>
    <sheet name="TonChiDA" sheetId="2" r:id="rId2"/>
    <sheet name="Sheet1" sheetId="3" r:id="rId3"/>
  </sheets>
  <definedNames>
    <definedName name="_Toc403047573" localSheetId="1">TonChiDA!$A$4</definedName>
    <definedName name="_Toc403047574" localSheetId="1">TonChiDA!$A$32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4BNz/ZYGR5ZoU9CLXJstE8VeQASn2/eO0yZbV8Wz1E="/>
    </ext>
  </extLst>
</workbook>
</file>

<file path=xl/calcChain.xml><?xml version="1.0" encoding="utf-8"?>
<calcChain xmlns="http://schemas.openxmlformats.org/spreadsheetml/2006/main">
  <c r="H5" i="1" l="1"/>
  <c r="J5" i="1" s="1"/>
  <c r="H6" i="1"/>
  <c r="J6" i="1" s="1"/>
  <c r="H7" i="1"/>
  <c r="J7" i="1" s="1"/>
  <c r="H8" i="1"/>
  <c r="J8" i="1" s="1"/>
  <c r="H9" i="1"/>
  <c r="J9" i="1" s="1"/>
  <c r="H10" i="1"/>
  <c r="J10" i="1" s="1"/>
  <c r="H12" i="1"/>
  <c r="J12" i="1" s="1"/>
  <c r="H13" i="1"/>
  <c r="J13" i="1" s="1"/>
  <c r="H15" i="1"/>
  <c r="J15" i="1" s="1"/>
  <c r="H16" i="1"/>
  <c r="J16" i="1" s="1"/>
  <c r="H17" i="1"/>
  <c r="J17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1" i="1"/>
  <c r="J41" i="1" s="1"/>
  <c r="H42" i="1"/>
  <c r="J42" i="1" s="1"/>
  <c r="H43" i="1"/>
  <c r="J43" i="1" s="1"/>
  <c r="H44" i="1"/>
  <c r="J44" i="1" s="1"/>
  <c r="H46" i="1"/>
  <c r="J46" i="1" s="1"/>
  <c r="H47" i="1"/>
  <c r="J47" i="1" s="1"/>
  <c r="H48" i="1"/>
  <c r="J48" i="1" s="1"/>
  <c r="H49" i="1"/>
  <c r="J49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61" i="1"/>
  <c r="J61" i="1" s="1"/>
  <c r="H62" i="1"/>
  <c r="J62" i="1" s="1"/>
  <c r="H63" i="1"/>
  <c r="J63" i="1" s="1"/>
  <c r="H64" i="1"/>
  <c r="J64" i="1" s="1"/>
  <c r="H66" i="1"/>
  <c r="J66" i="1" s="1"/>
  <c r="H67" i="1"/>
  <c r="J67" i="1" s="1"/>
  <c r="H68" i="1"/>
  <c r="J68" i="1" s="1"/>
  <c r="H69" i="1"/>
  <c r="J69" i="1" s="1"/>
  <c r="H70" i="1"/>
  <c r="J70" i="1" s="1"/>
  <c r="J71" i="1" s="1"/>
</calcChain>
</file>

<file path=xl/sharedStrings.xml><?xml version="1.0" encoding="utf-8"?>
<sst xmlns="http://schemas.openxmlformats.org/spreadsheetml/2006/main" count="263" uniqueCount="194">
  <si>
    <t>STT</t>
  </si>
  <si>
    <t>Tên công việc</t>
  </si>
  <si>
    <t>Mô tả</t>
  </si>
  <si>
    <t>MO</t>
  </si>
  <si>
    <t>ML</t>
  </si>
  <si>
    <t>MP</t>
  </si>
  <si>
    <t>EST</t>
  </si>
  <si>
    <t>Tăng thêm</t>
  </si>
  <si>
    <t>EST chốt</t>
  </si>
  <si>
    <t>Người thực hiện</t>
  </si>
  <si>
    <t> </t>
  </si>
  <si>
    <t>Khảo sát yêu cầu</t>
  </si>
  <si>
    <t>Khảo sát hiện trạng </t>
  </si>
  <si>
    <t>Khảo sát hiện trạng quản lý sản phẩm thời trang, nhập kho, xuất kho và tồn kho.</t>
  </si>
  <si>
    <t>Bùi Tuấn Anh</t>
  </si>
  <si>
    <t>Hợp nhất hiện trạng </t>
  </si>
  <si>
    <t>Tổng hợp và hợp nhất các kết luận sau khi khảo sát nghiệp vụ.</t>
  </si>
  <si>
    <t>Phân tích hiện trạng </t>
  </si>
  <si>
    <t>Phân tích quy trình hiện tại và xác định các yêu cầu cho hệ thống.</t>
  </si>
  <si>
    <t>Đưa ra báo cáo đặc tả yêu cầu</t>
  </si>
  <si>
    <t>Triển khai các yêu cầu thành tài liệu phân tích yêu cầu để báo cáo khách hàng</t>
  </si>
  <si>
    <t>Mời khách hàng tham vấn</t>
  </si>
  <si>
    <t>Khảo sát ý kiến khách hàng, nhằm tìm ra được những thiếu sót và đáp ứng triệt để yêu cầu của khách hàng</t>
  </si>
  <si>
    <t>Chỉnh sửa lại yêu cầu phần mềm</t>
  </si>
  <si>
    <t>Chỉnh sửa lại các ý kiến mà khách hàng góp ý khi tham vấn</t>
  </si>
  <si>
    <t>Phân tích thiết kế hệ thống</t>
  </si>
  <si>
    <t>Xác định ma trận yêu cầu</t>
  </si>
  <si>
    <t>Lập ma trận yêu cầu, xác định các chức năng và đối tượng tham gia.</t>
  </si>
  <si>
    <t>Bùi Quốc Luýt</t>
  </si>
  <si>
    <t>Thiết kế kiến trúc hệ thống</t>
  </si>
  <si>
    <t>Đưa ra kiến trúc tổng quan cho hệ thống quản lý kho sản phẩm thời trang.</t>
  </si>
  <si>
    <t>Thiết kế biểu đồ UC của hệ thống</t>
  </si>
  <si>
    <t>Xác định và phân tích Actor của hệ thống</t>
  </si>
  <si>
    <t>Xác định các tác nhân tham gia hệ thống.</t>
  </si>
  <si>
    <t>Xác định và phân tích các User Case</t>
  </si>
  <si>
    <t>Xác định các chức năng hệ thống cần thực hiện.</t>
  </si>
  <si>
    <t>Vẽ biểu đồ User Case tổng quát</t>
  </si>
  <si>
    <t>Xây dựng biểu đồ User Case tổng quát.</t>
  </si>
  <si>
    <t>Đặc tả User Case</t>
  </si>
  <si>
    <t>User Case đăng nhập</t>
  </si>
  <si>
    <t>Minh họa mối quan hệ các yếu tố của chức năng đăng nhập</t>
  </si>
  <si>
    <t>User Case đăng xuất</t>
  </si>
  <si>
    <t>Minh họa mối quan hệ các yếu tố của chức năng đăng xuất</t>
  </si>
  <si>
    <t>User Case quản lý nhập kho</t>
  </si>
  <si>
    <t>Minh họa mối quan hệ các yếu tố của chức năng quản lý nhập kho</t>
  </si>
  <si>
    <t>User Case quản lý xuất kho</t>
  </si>
  <si>
    <t>Minh họa mối quan hệ các yếu tố của chức năng quản lý xuất kho</t>
  </si>
  <si>
    <t>User Case quản lý tồn kho</t>
  </si>
  <si>
    <t>Minh họa mối quan hệ các yếu tố của chức năng quản lý tồn kho</t>
  </si>
  <si>
    <t>User Case báo cáo thống kê</t>
  </si>
  <si>
    <t>Minh họa mối quan hệ các yếu tố của chức năng báo cáo và thống kê</t>
  </si>
  <si>
    <t>Xác định biểu đồ lớp</t>
  </si>
  <si>
    <t>Xây dựng mô hình lớp gồm thuộc tính, phương thức và các mối quan hệ.</t>
  </si>
  <si>
    <t>Xác định biểu đồ tuần tự</t>
  </si>
  <si>
    <t>Biểu đồ tuần tự quản lý đăng nhập</t>
  </si>
  <si>
    <t>Xây dựng trình tự các bước khi đăng nhập.</t>
  </si>
  <si>
    <t>Biểu đồ tuần tự quản lý sản phẩm</t>
  </si>
  <si>
    <t>Xây dựng trình tự các bước khi quản lý sản phẩm</t>
  </si>
  <si>
    <t>Biểu đồ tuần tự quản lý nhập kho</t>
  </si>
  <si>
    <t>Xây dựng trình tự các bước khi quản lý nhập kho</t>
  </si>
  <si>
    <t>Biểu đồ tuần tự quản lý xuất kho</t>
  </si>
  <si>
    <t>Xây dựng trình tự các bước khi quản lý xuất kho</t>
  </si>
  <si>
    <t>Biểu đồ tuần tự quản lý tồn kho</t>
  </si>
  <si>
    <t>Xây dựng trình tự các bước khi quản lý tồn kho</t>
  </si>
  <si>
    <t>Biểu đồ tuần tự báo cáo thống kê</t>
  </si>
  <si>
    <t>Xây dựng trình tự các bước khi báo cáo và thống kê</t>
  </si>
  <si>
    <t>Xác định sơ đồ hoạt động</t>
  </si>
  <si>
    <t>Sơ đồ hoạt động đăng nhập/đăng xuất</t>
  </si>
  <si>
    <t>Xây dựng các bước hoạt động cụ thể khi đăng nhập/đăng xuất</t>
  </si>
  <si>
    <t>Sơ đồ hoạt động quản lý sản phẩm</t>
  </si>
  <si>
    <t>Xây dựng các bước hoạt động cụ thể khi quản lý sản phẩm</t>
  </si>
  <si>
    <t>Sơ đồ hoạt động quản lý nhập kho</t>
  </si>
  <si>
    <t>Xây dựng các bước hoạt động cụ thể khi quản lý nhập kho</t>
  </si>
  <si>
    <t>Sơ đồ hoạt động quản lý xuất kho</t>
  </si>
  <si>
    <t>Xây dựng các bước hoạt động cụ thể khi quản lý xuất kho</t>
  </si>
  <si>
    <t>Sơ đồ hoạt động quản lý tồn kho</t>
  </si>
  <si>
    <t>Xây dựng các bước hoạt động cụ thể khi quản lý tồn kho</t>
  </si>
  <si>
    <t>Sơ đồ hoạt động báo cáo thống kê</t>
  </si>
  <si>
    <t>Xây dựng các bước hoạt động cụ thể khi báo cáo và thống kê</t>
  </si>
  <si>
    <t>Thiết kế giao diện</t>
  </si>
  <si>
    <t>Thiết kế giao diện phần Người dùng</t>
  </si>
  <si>
    <t>Thiết kế giao diện cho khách hàng/người dùng website.</t>
  </si>
  <si>
    <t>Thiết kế giao diện cho phần Quản trị</t>
  </si>
  <si>
    <t>Thiết kế giao diện quản trị cho nhân viên quản lý kho.</t>
  </si>
  <si>
    <t>Mời khách hàng tham vấn giao diện</t>
  </si>
  <si>
    <t>Hỏi ý kiến cuối cùng của khách hàng về giao diện chương trình</t>
  </si>
  <si>
    <t>Chỉnh sửa theo yêu cầu</t>
  </si>
  <si>
    <t>Chỉnh sửa theo những ý kiến của khách hàng, làm cam kết để bảo đảm khi nghiệm thu</t>
  </si>
  <si>
    <t>Xây dựng chương trình</t>
  </si>
  <si>
    <t>Thiết kế CSDL</t>
  </si>
  <si>
    <t>Thiết kế cơ sở dữ liệu quản lý sản phẩm, nhập, xuất và tồn kho.</t>
  </si>
  <si>
    <t>Vũ Quang Minh</t>
  </si>
  <si>
    <t>Xây dựng module tầng Data Access</t>
  </si>
  <si>
    <t>Xây dựng tầng giao tiếp trực tiếp với CSDL</t>
  </si>
  <si>
    <t>Xây dựng module tầng ADO</t>
  </si>
  <si>
    <t>Xây dựng tầng giao tiếp gián tiếp với CSDL</t>
  </si>
  <si>
    <t>Xây dựng các chức năng phần Quản trị</t>
  </si>
  <si>
    <t>Xây dựng các chức năng dành cho quản trị viên.</t>
  </si>
  <si>
    <t>Xây dựng chức năng phần người dùng</t>
  </si>
  <si>
    <t>Đăng nhập</t>
  </si>
  <si>
    <t>Xây dựng chức năng đăng nhập và phân quyền.</t>
  </si>
  <si>
    <t>Quản trị danh mục</t>
  </si>
  <si>
    <t>Xây dựng chức năng quản lý danh mục sản phẩm thời trang.</t>
  </si>
  <si>
    <t>Quản lý tiếp nhận đơn</t>
  </si>
  <si>
    <t>Xây dựng chức năng quản lý nhập kho.</t>
  </si>
  <si>
    <t>Quản lý quá trình xử lý vụ việc</t>
  </si>
  <si>
    <t>Xây dựng chức năng quản lý xuất kho và cập nhật tồn kho.</t>
  </si>
  <si>
    <t>Hoạt động tìm kiếm</t>
  </si>
  <si>
    <t>Xây dựng chức năng tìm kiếm sản phẩm và chứng từ.</t>
  </si>
  <si>
    <t>Chức năng thống kê báo cáo</t>
  </si>
  <si>
    <t>Xây dựng chức năng thống kê, báo cáo nhập xuất tồn.</t>
  </si>
  <si>
    <t>Chức năng cho công dân xem kết quả</t>
  </si>
  <si>
    <t>Xây dựng chức năng cho người dùng xem thông tin sản phẩm và kết quả tra cứu.</t>
  </si>
  <si>
    <t>Viết hướng dẫn sử dụng</t>
  </si>
  <si>
    <t>Viết tài liệu hướng dẫn sử dụng chương trình.</t>
  </si>
  <si>
    <t>Kiểm thử chương trình</t>
  </si>
  <si>
    <t>Kiểm thử chức năng</t>
  </si>
  <si>
    <t>Kiểm thử các chức năng phần quản trị</t>
  </si>
  <si>
    <t>Tìm kiếm và ghi nhận lỗi trong các chức năng quản trị.</t>
  </si>
  <si>
    <t>Bạch Minh Quang</t>
  </si>
  <si>
    <t>Kiểm thử chức năng phần người dùng</t>
  </si>
  <si>
    <t>Kiểm tra lỗi các chức năng dành cho người dùng.</t>
  </si>
  <si>
    <t>Kiểm thử toàn cục</t>
  </si>
  <si>
    <t>Kiểm thử tổng thể toàn bộ chương trình.</t>
  </si>
  <si>
    <t>Sửa lỗi chương trình</t>
  </si>
  <si>
    <t>Sửa các lỗi đã được phát hiện trong quá trình kiểm thử.</t>
  </si>
  <si>
    <t>Triển khai hệ thống</t>
  </si>
  <si>
    <t>Triển khai trong mạng nội bộ</t>
  </si>
  <si>
    <t>Triển khai ứng dụng trong mạng nội bộ.</t>
  </si>
  <si>
    <t>Phạm Đoàn Bảo Thiên</t>
  </si>
  <si>
    <t>Triển khai ra toàn cục</t>
  </si>
  <si>
    <t>Triển khai ứng dụng trên môi trường Internet khi đủ điều kiện.</t>
  </si>
  <si>
    <t>Báo cáo chương trình</t>
  </si>
  <si>
    <t>Lập báo cáo nghiệm thu chương trình.</t>
  </si>
  <si>
    <t>Đào tạo nhân lực sử dụng chương trình</t>
  </si>
  <si>
    <t>Hướng dẫn sử dụng và đào tạo người dùng.</t>
  </si>
  <si>
    <t>Bảo trì hệ thống</t>
  </si>
  <si>
    <t>Bảo trì và hỗ trợ hệ thống sau khi triển khai.</t>
  </si>
  <si>
    <t>PHẦN 2 : TÔN CHỈ DỰ ÁN</t>
  </si>
  <si>
    <t>Tôn chỉ dự án (Project Charter)</t>
  </si>
  <si>
    <r>
      <rPr>
        <b/>
        <sz val="14"/>
        <color rgb="FF000000"/>
        <rFont val="Times New Roman"/>
        <family val="1"/>
      </rPr>
      <t>1.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4"/>
        <color rgb="FF000000"/>
        <rFont val="Times New Roman"/>
        <family val="1"/>
      </rPr>
      <t xml:space="preserve">Mô tả dự án </t>
    </r>
  </si>
  <si>
    <r>
      <rPr>
        <sz val="14"/>
        <color rgb="FF000000"/>
        <rFont val="Times New Roman"/>
        <family val="1"/>
      </rPr>
      <t xml:space="preserve">• </t>
    </r>
    <r>
      <rPr>
        <b/>
        <sz val="14"/>
        <color rgb="FF000000"/>
        <rFont val="Times New Roman"/>
        <family val="1"/>
      </rPr>
      <t>Tên dự án</t>
    </r>
    <r>
      <rPr>
        <sz val="14"/>
        <color rgb="FF000000"/>
        <rFont val="Times New Roman"/>
        <family val="1"/>
      </rPr>
      <t xml:space="preserve"> :         </t>
    </r>
  </si>
  <si>
    <r>
      <rPr>
        <sz val="14"/>
        <color rgb="FF000000"/>
        <rFont val="Times New Roman"/>
        <family val="1"/>
      </rPr>
      <t xml:space="preserve">• </t>
    </r>
    <r>
      <rPr>
        <b/>
        <sz val="14"/>
        <color rgb="FF000000"/>
        <rFont val="Times New Roman"/>
        <family val="1"/>
      </rPr>
      <t>Ngày bẳt đầu</t>
    </r>
    <r>
      <rPr>
        <sz val="14"/>
        <color rgb="FF000000"/>
        <rFont val="Times New Roman"/>
        <family val="1"/>
      </rPr>
      <t xml:space="preserve"> :    </t>
    </r>
  </si>
  <si>
    <r>
      <rPr>
        <sz val="14"/>
        <color rgb="FF000000"/>
        <rFont val="Times New Roman"/>
        <family val="1"/>
      </rPr>
      <t xml:space="preserve">• </t>
    </r>
    <r>
      <rPr>
        <b/>
        <sz val="14"/>
        <color rgb="FF000000"/>
        <rFont val="Times New Roman"/>
        <family val="1"/>
      </rPr>
      <t>Ngày kết thúc</t>
    </r>
    <r>
      <rPr>
        <sz val="14"/>
        <color rgb="FF000000"/>
        <rFont val="Times New Roman"/>
        <family val="1"/>
      </rPr>
      <t xml:space="preserve"> :   </t>
    </r>
  </si>
  <si>
    <r>
      <rPr>
        <b/>
        <sz val="14"/>
        <color rgb="FF000000"/>
        <rFont val="Times New Roman"/>
        <family val="1"/>
      </rPr>
      <t>• Chủ đầu tư</t>
    </r>
    <r>
      <rPr>
        <sz val="14"/>
        <color rgb="FF000000"/>
        <rFont val="Times New Roman"/>
        <family val="1"/>
      </rPr>
      <t xml:space="preserve"> :        </t>
    </r>
  </si>
  <si>
    <r>
      <rPr>
        <sz val="14"/>
        <color rgb="FF000000"/>
        <rFont val="Times New Roman"/>
        <family val="1"/>
      </rPr>
      <t xml:space="preserve">• </t>
    </r>
    <r>
      <rPr>
        <b/>
        <sz val="14"/>
        <color rgb="FF000000"/>
        <rFont val="Times New Roman"/>
        <family val="1"/>
      </rPr>
      <t>Kinh phí</t>
    </r>
    <r>
      <rPr>
        <sz val="14"/>
        <color rgb="FF000000"/>
        <rFont val="Times New Roman"/>
        <family val="1"/>
      </rPr>
      <t xml:space="preserve"> :            </t>
    </r>
  </si>
  <si>
    <r>
      <rPr>
        <sz val="14"/>
        <color rgb="FF000000"/>
        <rFont val="Times New Roman"/>
        <family val="1"/>
      </rPr>
      <t xml:space="preserve">• </t>
    </r>
    <r>
      <rPr>
        <b/>
        <sz val="14"/>
        <color rgb="FF000000"/>
        <rFont val="Times New Roman"/>
        <family val="1"/>
      </rPr>
      <t>Giám đốc dự án</t>
    </r>
    <r>
      <rPr>
        <sz val="14"/>
        <color rgb="FF000000"/>
        <rFont val="Times New Roman"/>
        <family val="1"/>
      </rPr>
      <t xml:space="preserve"> : </t>
    </r>
  </si>
  <si>
    <r>
      <rPr>
        <sz val="14"/>
        <color rgb="FF000000"/>
        <rFont val="Times New Roman"/>
        <family val="1"/>
      </rPr>
      <t xml:space="preserve"> • </t>
    </r>
    <r>
      <rPr>
        <b/>
        <sz val="14"/>
        <color rgb="FF000000"/>
        <rFont val="Times New Roman"/>
        <family val="1"/>
      </rPr>
      <t>Mục tiêu dự án</t>
    </r>
    <r>
      <rPr>
        <sz val="14"/>
        <color rgb="FF000000"/>
        <rFont val="Times New Roman"/>
        <family val="1"/>
      </rPr>
      <t xml:space="preserve"> :  </t>
    </r>
  </si>
  <si>
    <t xml:space="preserve">- Chức năng nghiệp vụ : </t>
  </si>
  <si>
    <t xml:space="preserve">-Yêu cầu kĩ thuật (Đáp ứng được tiêu chuẩn của một Website):  </t>
  </si>
  <si>
    <t xml:space="preserve">-Yêu cầu khác :  </t>
  </si>
  <si>
    <t>- Phạm vi của dự án :</t>
  </si>
  <si>
    <t xml:space="preserve"> </t>
  </si>
  <si>
    <r>
      <rPr>
        <sz val="14"/>
        <color rgb="FF000000"/>
        <rFont val="Times New Roman"/>
        <family val="1"/>
      </rPr>
      <t xml:space="preserve">- Đối tượng sử dụng: </t>
    </r>
    <r>
      <rPr>
        <b/>
        <sz val="14"/>
        <color rgb="FF000000"/>
        <rFont val="Times New Roman"/>
        <family val="1"/>
      </rPr>
      <t>Vai trò và trách nhiệm.</t>
    </r>
  </si>
  <si>
    <t>Vai trò</t>
  </si>
  <si>
    <t>Họ tên</t>
  </si>
  <si>
    <t>Tổ chức/vị trí</t>
  </si>
  <si>
    <t xml:space="preserve">Liên hệ </t>
  </si>
  <si>
    <t>Organization/Position</t>
  </si>
  <si>
    <t>Contact Information</t>
  </si>
  <si>
    <t>Khách</t>
  </si>
  <si>
    <t>Nguyễn Văn Long</t>
  </si>
  <si>
    <t>Giám đốc siêu thị điện máy</t>
  </si>
  <si>
    <t>longnguyen@gmail.com</t>
  </si>
  <si>
    <t>hàng</t>
  </si>
  <si>
    <t>Người sử dụng</t>
  </si>
  <si>
    <t>Người truy cập website</t>
  </si>
  <si>
    <t>Giám đốc dự án</t>
  </si>
  <si>
    <t>Trần Thị Giang</t>
  </si>
  <si>
    <t>Công ty sản xuất phần mềm – website CNPM4</t>
  </si>
  <si>
    <t>tranthigiangcntt@gmail.com</t>
  </si>
  <si>
    <t>Trưởng nhóm</t>
  </si>
  <si>
    <t>Nguyễn Đăng Khiêm</t>
  </si>
  <si>
    <t>khiemitnd@gmail.com</t>
  </si>
  <si>
    <t>Ký tên</t>
  </si>
  <si>
    <r>
      <rPr>
        <b/>
        <sz val="14"/>
        <color rgb="FF000000"/>
        <rFont val="Times New Roman"/>
        <family val="1"/>
      </rPr>
      <t>2.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4"/>
        <color rgb="FF000000"/>
        <rFont val="Times New Roman"/>
        <family val="1"/>
      </rPr>
      <t>Công bố dự án</t>
    </r>
  </si>
  <si>
    <t>Quyết định khởi công dự án phần mềm</t>
  </si>
  <si>
    <t>(Số ….. Ngày……..)</t>
  </si>
  <si>
    <t>Tên dự án</t>
  </si>
  <si>
    <t>Mã số</t>
  </si>
  <si>
    <t>Chủ đấu tư</t>
  </si>
  <si>
    <t>Thời gian</t>
  </si>
  <si>
    <t>Quản trị viên</t>
  </si>
  <si>
    <t>Qui mô dự án</t>
  </si>
  <si>
    <t>Mục tiêu và các yêu cầu</t>
  </si>
  <si>
    <t xml:space="preserve">                                           (Ký và ghi rõ tên)</t>
  </si>
  <si>
    <t>dữ liệu của sản phẩm thời trang có những đặc trưng gì</t>
  </si>
  <si>
    <t>mẫu mã</t>
  </si>
  <si>
    <t>size</t>
  </si>
  <si>
    <t>màu</t>
  </si>
  <si>
    <t>giới tính</t>
  </si>
  <si>
    <t>chất liệu??...</t>
  </si>
  <si>
    <t>tìm hiểu nghiệp vụ</t>
  </si>
  <si>
    <t>có những biểu mẫu nào: phiếu nhập, phiếu xuất, báo cáo tồn kho, báo cáo nhập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</si>
</sst>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9"/>
      <color theme="1"/>
      <name val="Arial"/>
      <family val="2"/>
    </font>
    <font>
      <sz val="11"/>
      <name val="Calibri"/>
      <family val="2"/>
    </font>
    <font>
      <b/>
      <sz val="14"/>
      <color rgb="FF000000"/>
      <name val="Times New Roman"/>
      <family val="1"/>
    </font>
    <font>
      <sz val="14"/>
      <color theme="1"/>
      <name val="Arial"/>
      <family val="2"/>
    </font>
    <font>
      <sz val="14"/>
      <color rgb="FF000000"/>
      <name val="Times New Roman"/>
      <family val="1"/>
    </font>
    <font>
      <u/>
      <sz val="11"/>
      <color theme="10"/>
      <name val="Calibri"/>
      <family val="2"/>
    </font>
    <font>
      <b/>
      <sz val="7"/>
      <color rgb="FF000000"/>
      <name val="Times New Roman"/>
      <family val="1"/>
    </font>
    <font>
      <sz val="9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FF0000"/>
      <name val="Arial"/>
      <family val="2"/>
      <charset val="1"/>
    </font>
    <font>
      <sz val="9"/>
      <color rgb="FF0000FF"/>
      <name val="Arial"/>
      <family val="2"/>
      <charset val="1"/>
    </font>
    <font>
      <sz val="9"/>
      <color rgb="FFE36C0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E36C09"/>
      </right>
      <top/>
      <bottom style="thin">
        <color rgb="FFE36C09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4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8" fillId="0" borderId="2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8" fillId="0" borderId="15" xfId="0" applyFont="1" applyBorder="1" applyAlignment="1">
      <alignment wrapText="1"/>
    </xf>
    <xf numFmtId="9" fontId="8" fillId="0" borderId="0" xfId="0" applyNumberFormat="1" applyFont="1" applyAlignment="1">
      <alignment wrapText="1"/>
    </xf>
    <xf numFmtId="0" fontId="8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8" fillId="0" borderId="0" xfId="0" applyFont="1" applyAlignment="1"/>
    <xf numFmtId="0" fontId="0" fillId="0" borderId="0" xfId="0" applyAlignment="1"/>
    <xf numFmtId="0" fontId="2" fillId="0" borderId="2" xfId="0" applyFont="1" applyBorder="1" applyAlignment="1"/>
    <xf numFmtId="0" fontId="2" fillId="0" borderId="7" xfId="0" applyFont="1" applyBorder="1" applyAlignment="1"/>
    <xf numFmtId="0" fontId="2" fillId="0" borderId="5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hiemitnd@gmail.com" TargetMode="External"/><Relationship Id="rId2" Type="http://schemas.openxmlformats.org/officeDocument/2006/relationships/hyperlink" Target="mailto:tranthigiangcntt@gmail.com" TargetMode="External"/><Relationship Id="rId1" Type="http://schemas.openxmlformats.org/officeDocument/2006/relationships/hyperlink" Target="mailto:longnguy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B8" workbookViewId="0">
      <selection activeCell="K14" sqref="K14"/>
    </sheetView>
  </sheetViews>
  <sheetFormatPr defaultColWidth="14.42578125" defaultRowHeight="15" customHeight="1"/>
  <cols>
    <col min="1" max="1" width="3.85546875" customWidth="1"/>
    <col min="2" max="2" width="6.5703125" customWidth="1"/>
    <col min="3" max="3" width="39.140625" customWidth="1"/>
    <col min="4" max="4" width="83.5703125" customWidth="1"/>
    <col min="5" max="5" width="5.7109375" customWidth="1"/>
    <col min="6" max="6" width="5.5703125" customWidth="1"/>
    <col min="7" max="10" width="9.140625" customWidth="1"/>
    <col min="11" max="11" width="17.7109375" customWidth="1"/>
    <col min="12" max="23" width="8" customWidth="1"/>
  </cols>
  <sheetData>
    <row r="1" spans="1:23" ht="11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" customHeight="1">
      <c r="A2" s="15"/>
      <c r="B2" s="35" t="s">
        <v>0</v>
      </c>
      <c r="C2" s="35" t="s">
        <v>1</v>
      </c>
      <c r="D2" s="35" t="s">
        <v>2</v>
      </c>
      <c r="E2" s="15"/>
      <c r="F2" s="15"/>
      <c r="G2" s="15"/>
      <c r="H2" s="15"/>
      <c r="I2" s="15"/>
      <c r="J2" s="15"/>
      <c r="K2" s="1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7" customHeight="1">
      <c r="A3" s="15"/>
      <c r="B3" s="36"/>
      <c r="C3" s="36"/>
      <c r="D3" s="36"/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2" customHeight="1">
      <c r="A4" s="15"/>
      <c r="B4" s="16" t="s">
        <v>10</v>
      </c>
      <c r="C4" s="17" t="s">
        <v>11</v>
      </c>
      <c r="D4" s="15"/>
      <c r="E4" s="15"/>
      <c r="F4" s="15"/>
      <c r="G4" s="15"/>
      <c r="H4" s="15"/>
      <c r="I4" s="15"/>
      <c r="J4" s="15"/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1.25" customHeight="1">
      <c r="A5" s="15"/>
      <c r="B5" s="16">
        <v>1</v>
      </c>
      <c r="C5" s="18" t="s">
        <v>12</v>
      </c>
      <c r="D5" s="19" t="s">
        <v>13</v>
      </c>
      <c r="E5" s="15">
        <v>3</v>
      </c>
      <c r="F5" s="15">
        <v>4</v>
      </c>
      <c r="G5" s="15">
        <v>5</v>
      </c>
      <c r="H5" s="15">
        <f t="shared" ref="H5:H68" si="0">ROUND((E5+4*F5+G5)/6,1)</f>
        <v>4</v>
      </c>
      <c r="I5" s="20">
        <v>0.1</v>
      </c>
      <c r="J5" s="15">
        <f>H5+H5*I5</f>
        <v>4.4000000000000004</v>
      </c>
      <c r="K5" s="15" t="s">
        <v>14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1.25" customHeight="1">
      <c r="A6" s="15"/>
      <c r="B6" s="16">
        <v>2</v>
      </c>
      <c r="C6" s="18" t="s">
        <v>15</v>
      </c>
      <c r="D6" s="21" t="s">
        <v>16</v>
      </c>
      <c r="E6" s="15">
        <v>1</v>
      </c>
      <c r="F6" s="15">
        <v>2</v>
      </c>
      <c r="G6" s="15">
        <v>2</v>
      </c>
      <c r="H6" s="15">
        <f t="shared" si="0"/>
        <v>1.8</v>
      </c>
      <c r="I6" s="20">
        <v>0.1</v>
      </c>
      <c r="J6" s="15">
        <f t="shared" ref="J6:J69" si="1">H6+H6*I6</f>
        <v>1.98</v>
      </c>
      <c r="K6" s="15" t="s">
        <v>14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1.25" customHeight="1">
      <c r="A7" s="15"/>
      <c r="B7" s="16">
        <v>3</v>
      </c>
      <c r="C7" s="18" t="s">
        <v>17</v>
      </c>
      <c r="D7" s="21" t="s">
        <v>18</v>
      </c>
      <c r="E7" s="15">
        <v>2</v>
      </c>
      <c r="F7" s="15">
        <v>3</v>
      </c>
      <c r="G7" s="15">
        <v>3</v>
      </c>
      <c r="H7" s="15">
        <f t="shared" si="0"/>
        <v>2.8</v>
      </c>
      <c r="I7" s="20">
        <v>0.1</v>
      </c>
      <c r="J7" s="15">
        <f t="shared" si="1"/>
        <v>3.0799999999999996</v>
      </c>
      <c r="K7" s="15" t="s">
        <v>14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1.25" customHeight="1">
      <c r="A8" s="15"/>
      <c r="B8" s="16">
        <v>4</v>
      </c>
      <c r="C8" s="18" t="s">
        <v>19</v>
      </c>
      <c r="D8" s="21" t="s">
        <v>20</v>
      </c>
      <c r="E8" s="15">
        <v>3</v>
      </c>
      <c r="F8" s="15">
        <v>7</v>
      </c>
      <c r="G8" s="15">
        <v>12</v>
      </c>
      <c r="H8" s="15">
        <f t="shared" si="0"/>
        <v>7.2</v>
      </c>
      <c r="I8" s="20">
        <v>0.1</v>
      </c>
      <c r="J8" s="15">
        <f t="shared" si="1"/>
        <v>7.92</v>
      </c>
      <c r="K8" s="15" t="s">
        <v>14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1.25" customHeight="1">
      <c r="A9" s="15"/>
      <c r="B9" s="16">
        <v>5</v>
      </c>
      <c r="C9" s="18" t="s">
        <v>21</v>
      </c>
      <c r="D9" s="21" t="s">
        <v>22</v>
      </c>
      <c r="E9" s="15">
        <v>3</v>
      </c>
      <c r="F9" s="15">
        <v>4</v>
      </c>
      <c r="G9" s="15">
        <v>6</v>
      </c>
      <c r="H9" s="15">
        <f t="shared" si="0"/>
        <v>4.2</v>
      </c>
      <c r="I9" s="20">
        <v>0.1</v>
      </c>
      <c r="J9" s="15">
        <f t="shared" si="1"/>
        <v>4.62</v>
      </c>
      <c r="K9" s="15" t="s">
        <v>14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1.25" customHeight="1">
      <c r="A10" s="15"/>
      <c r="B10" s="16">
        <v>6</v>
      </c>
      <c r="C10" s="18" t="s">
        <v>23</v>
      </c>
      <c r="D10" s="21" t="s">
        <v>24</v>
      </c>
      <c r="E10" s="15">
        <v>3</v>
      </c>
      <c r="F10" s="15">
        <v>3</v>
      </c>
      <c r="G10" s="15">
        <v>6</v>
      </c>
      <c r="H10" s="15">
        <f t="shared" si="0"/>
        <v>3.5</v>
      </c>
      <c r="I10" s="20">
        <v>0.1</v>
      </c>
      <c r="J10" s="15">
        <f t="shared" si="1"/>
        <v>3.85</v>
      </c>
      <c r="K10" s="15" t="s">
        <v>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2" customHeight="1">
      <c r="A11" s="15"/>
      <c r="B11" s="16" t="s">
        <v>10</v>
      </c>
      <c r="C11" s="17" t="s">
        <v>25</v>
      </c>
      <c r="D11" s="15"/>
      <c r="E11" s="15"/>
      <c r="F11" s="15"/>
      <c r="G11" s="15"/>
      <c r="H11" s="15"/>
      <c r="I11" s="15"/>
      <c r="J11" s="15"/>
      <c r="K11" s="1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1.25" customHeight="1">
      <c r="A12" s="15"/>
      <c r="B12" s="16">
        <v>7</v>
      </c>
      <c r="C12" s="18" t="s">
        <v>26</v>
      </c>
      <c r="D12" s="15" t="s">
        <v>27</v>
      </c>
      <c r="E12" s="15">
        <v>3</v>
      </c>
      <c r="F12" s="15">
        <v>5</v>
      </c>
      <c r="G12" s="15">
        <v>6</v>
      </c>
      <c r="H12" s="15">
        <f t="shared" si="0"/>
        <v>4.8</v>
      </c>
      <c r="I12" s="20">
        <v>0.1</v>
      </c>
      <c r="J12" s="15">
        <f t="shared" si="1"/>
        <v>5.2799999999999994</v>
      </c>
      <c r="K12" s="15" t="s">
        <v>28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1.25" customHeight="1">
      <c r="A13" s="15"/>
      <c r="B13" s="16">
        <v>8</v>
      </c>
      <c r="C13" s="18" t="s">
        <v>29</v>
      </c>
      <c r="D13" s="19" t="s">
        <v>30</v>
      </c>
      <c r="E13" s="15">
        <v>3</v>
      </c>
      <c r="F13" s="15">
        <v>5</v>
      </c>
      <c r="G13" s="15">
        <v>6</v>
      </c>
      <c r="H13" s="15">
        <f t="shared" si="0"/>
        <v>4.8</v>
      </c>
      <c r="I13" s="20">
        <v>0.1</v>
      </c>
      <c r="J13" s="15">
        <f t="shared" si="1"/>
        <v>5.2799999999999994</v>
      </c>
      <c r="K13" s="15" t="s">
        <v>28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1.25" customHeight="1">
      <c r="A14" s="15"/>
      <c r="B14" s="16" t="s">
        <v>10</v>
      </c>
      <c r="C14" s="18" t="s">
        <v>31</v>
      </c>
      <c r="D14" s="21" t="s">
        <v>10</v>
      </c>
      <c r="E14" s="15"/>
      <c r="F14" s="15"/>
      <c r="G14" s="15"/>
      <c r="H14" s="15"/>
      <c r="I14" s="15"/>
      <c r="J14" s="15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1.25" customHeight="1">
      <c r="A15" s="15"/>
      <c r="B15" s="16">
        <v>9</v>
      </c>
      <c r="C15" s="22" t="s">
        <v>32</v>
      </c>
      <c r="D15" s="21" t="s">
        <v>33</v>
      </c>
      <c r="E15" s="15">
        <v>1</v>
      </c>
      <c r="F15" s="15">
        <v>3</v>
      </c>
      <c r="G15" s="15">
        <v>4</v>
      </c>
      <c r="H15" s="15">
        <f t="shared" si="0"/>
        <v>2.8</v>
      </c>
      <c r="I15" s="20">
        <v>0.1</v>
      </c>
      <c r="J15" s="15">
        <f t="shared" si="1"/>
        <v>3.0799999999999996</v>
      </c>
      <c r="K15" s="15" t="s">
        <v>28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1.25" customHeight="1">
      <c r="A16" s="15"/>
      <c r="B16" s="16">
        <v>10</v>
      </c>
      <c r="C16" s="22" t="s">
        <v>34</v>
      </c>
      <c r="D16" s="21" t="s">
        <v>35</v>
      </c>
      <c r="E16" s="15">
        <v>1</v>
      </c>
      <c r="F16" s="15">
        <v>3</v>
      </c>
      <c r="G16" s="15">
        <v>4</v>
      </c>
      <c r="H16" s="15">
        <f t="shared" si="0"/>
        <v>2.8</v>
      </c>
      <c r="I16" s="20">
        <v>0.1</v>
      </c>
      <c r="J16" s="15">
        <f t="shared" si="1"/>
        <v>3.0799999999999996</v>
      </c>
      <c r="K16" s="15" t="s">
        <v>28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1.25" customHeight="1">
      <c r="A17" s="15"/>
      <c r="B17" s="16">
        <v>11</v>
      </c>
      <c r="C17" s="22" t="s">
        <v>36</v>
      </c>
      <c r="D17" s="21" t="s">
        <v>37</v>
      </c>
      <c r="E17" s="15">
        <v>1</v>
      </c>
      <c r="F17" s="15">
        <v>3</v>
      </c>
      <c r="G17" s="15">
        <v>4</v>
      </c>
      <c r="H17" s="15">
        <f t="shared" si="0"/>
        <v>2.8</v>
      </c>
      <c r="I17" s="20">
        <v>0.1</v>
      </c>
      <c r="J17" s="15">
        <f t="shared" si="1"/>
        <v>3.0799999999999996</v>
      </c>
      <c r="K17" s="15" t="s">
        <v>28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1.25" customHeight="1">
      <c r="A18" s="15"/>
      <c r="B18" s="16" t="s">
        <v>10</v>
      </c>
      <c r="C18" s="18" t="s">
        <v>38</v>
      </c>
      <c r="D18" s="15"/>
      <c r="E18" s="15"/>
      <c r="F18" s="15"/>
      <c r="G18" s="15"/>
      <c r="H18" s="15"/>
      <c r="I18" s="15"/>
      <c r="J18" s="15"/>
      <c r="K18" s="1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1.25" customHeight="1">
      <c r="A19" s="15"/>
      <c r="B19" s="16">
        <v>12</v>
      </c>
      <c r="C19" s="22" t="s">
        <v>39</v>
      </c>
      <c r="D19" s="19" t="s">
        <v>40</v>
      </c>
      <c r="E19" s="15">
        <v>1</v>
      </c>
      <c r="F19" s="15">
        <v>2</v>
      </c>
      <c r="G19" s="15">
        <v>4</v>
      </c>
      <c r="H19" s="15">
        <f t="shared" si="0"/>
        <v>2.2000000000000002</v>
      </c>
      <c r="I19" s="20">
        <v>0.1</v>
      </c>
      <c r="J19" s="15">
        <f t="shared" si="1"/>
        <v>2.4200000000000004</v>
      </c>
      <c r="K19" s="15" t="s">
        <v>28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1.25" customHeight="1">
      <c r="A20" s="15"/>
      <c r="B20" s="16">
        <v>13</v>
      </c>
      <c r="C20" s="22" t="s">
        <v>41</v>
      </c>
      <c r="D20" s="21" t="s">
        <v>42</v>
      </c>
      <c r="E20" s="15">
        <v>1</v>
      </c>
      <c r="F20" s="15">
        <v>2</v>
      </c>
      <c r="G20" s="15">
        <v>4</v>
      </c>
      <c r="H20" s="15">
        <f t="shared" si="0"/>
        <v>2.2000000000000002</v>
      </c>
      <c r="I20" s="20">
        <v>0.1</v>
      </c>
      <c r="J20" s="15">
        <f t="shared" si="1"/>
        <v>2.4200000000000004</v>
      </c>
      <c r="K20" s="15" t="s">
        <v>28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1.25" customHeight="1">
      <c r="A21" s="15"/>
      <c r="B21" s="16">
        <v>14</v>
      </c>
      <c r="C21" s="22" t="s">
        <v>43</v>
      </c>
      <c r="D21" s="21" t="s">
        <v>44</v>
      </c>
      <c r="E21" s="15">
        <v>1</v>
      </c>
      <c r="F21" s="15">
        <v>2</v>
      </c>
      <c r="G21" s="15">
        <v>4</v>
      </c>
      <c r="H21" s="15">
        <f t="shared" si="0"/>
        <v>2.2000000000000002</v>
      </c>
      <c r="I21" s="20">
        <v>0.1</v>
      </c>
      <c r="J21" s="15">
        <f t="shared" si="1"/>
        <v>2.4200000000000004</v>
      </c>
      <c r="K21" s="15" t="s">
        <v>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1.25" customHeight="1">
      <c r="A22" s="15"/>
      <c r="B22" s="16">
        <v>15</v>
      </c>
      <c r="C22" s="22" t="s">
        <v>45</v>
      </c>
      <c r="D22" s="21" t="s">
        <v>46</v>
      </c>
      <c r="E22" s="15">
        <v>1</v>
      </c>
      <c r="F22" s="15">
        <v>2</v>
      </c>
      <c r="G22" s="15">
        <v>4</v>
      </c>
      <c r="H22" s="15">
        <f t="shared" si="0"/>
        <v>2.2000000000000002</v>
      </c>
      <c r="I22" s="20">
        <v>0.1</v>
      </c>
      <c r="J22" s="15">
        <f t="shared" si="1"/>
        <v>2.4200000000000004</v>
      </c>
      <c r="K22" s="15" t="s">
        <v>28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1.25" customHeight="1">
      <c r="A23" s="15"/>
      <c r="B23" s="16">
        <v>16</v>
      </c>
      <c r="C23" s="22" t="s">
        <v>47</v>
      </c>
      <c r="D23" s="21" t="s">
        <v>48</v>
      </c>
      <c r="E23" s="15">
        <v>1</v>
      </c>
      <c r="F23" s="15">
        <v>2</v>
      </c>
      <c r="G23" s="15">
        <v>4</v>
      </c>
      <c r="H23" s="15">
        <f t="shared" si="0"/>
        <v>2.2000000000000002</v>
      </c>
      <c r="I23" s="20">
        <v>0.1</v>
      </c>
      <c r="J23" s="15">
        <f t="shared" si="1"/>
        <v>2.4200000000000004</v>
      </c>
      <c r="K23" s="15" t="s">
        <v>28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1.25" customHeight="1">
      <c r="A24" s="15"/>
      <c r="B24" s="16">
        <v>17</v>
      </c>
      <c r="C24" s="22" t="s">
        <v>49</v>
      </c>
      <c r="D24" s="21" t="s">
        <v>50</v>
      </c>
      <c r="E24" s="15">
        <v>1</v>
      </c>
      <c r="F24" s="15">
        <v>2</v>
      </c>
      <c r="G24" s="15">
        <v>4</v>
      </c>
      <c r="H24" s="15">
        <f t="shared" si="0"/>
        <v>2.2000000000000002</v>
      </c>
      <c r="I24" s="20">
        <v>0.1</v>
      </c>
      <c r="J24" s="15">
        <f t="shared" si="1"/>
        <v>2.4200000000000004</v>
      </c>
      <c r="K24" s="15" t="s">
        <v>28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1.25" customHeight="1">
      <c r="A25" s="15"/>
      <c r="B25" s="16">
        <v>18</v>
      </c>
      <c r="C25" s="18" t="s">
        <v>51</v>
      </c>
      <c r="D25" s="21" t="s">
        <v>52</v>
      </c>
      <c r="E25" s="15">
        <v>2</v>
      </c>
      <c r="F25" s="15">
        <v>3</v>
      </c>
      <c r="G25" s="15">
        <v>5</v>
      </c>
      <c r="H25" s="15">
        <f t="shared" si="0"/>
        <v>3.2</v>
      </c>
      <c r="I25" s="20">
        <v>0.1</v>
      </c>
      <c r="J25" s="15">
        <f t="shared" si="1"/>
        <v>3.5200000000000005</v>
      </c>
      <c r="K25" s="15" t="s">
        <v>28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1.25" customHeight="1">
      <c r="A26" s="15"/>
      <c r="B26" s="16" t="s">
        <v>10</v>
      </c>
      <c r="C26" s="18" t="s">
        <v>53</v>
      </c>
      <c r="D26" s="15"/>
      <c r="E26" s="15"/>
      <c r="F26" s="15"/>
      <c r="G26" s="15"/>
      <c r="H26" s="15"/>
      <c r="I26" s="15"/>
      <c r="J26" s="15"/>
      <c r="K26" s="1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1.25" customHeight="1">
      <c r="A27" s="15"/>
      <c r="B27" s="16">
        <v>19</v>
      </c>
      <c r="C27" s="22" t="s">
        <v>54</v>
      </c>
      <c r="D27" s="19" t="s">
        <v>55</v>
      </c>
      <c r="E27" s="15">
        <v>1</v>
      </c>
      <c r="F27" s="15">
        <v>2</v>
      </c>
      <c r="G27" s="15">
        <v>4</v>
      </c>
      <c r="H27" s="15">
        <f t="shared" si="0"/>
        <v>2.2000000000000002</v>
      </c>
      <c r="I27" s="20">
        <v>0.1</v>
      </c>
      <c r="J27" s="15">
        <f t="shared" si="1"/>
        <v>2.4200000000000004</v>
      </c>
      <c r="K27" s="15" t="s">
        <v>28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1.25" customHeight="1">
      <c r="A28" s="15"/>
      <c r="B28" s="16">
        <v>20</v>
      </c>
      <c r="C28" s="22" t="s">
        <v>56</v>
      </c>
      <c r="D28" s="21" t="s">
        <v>57</v>
      </c>
      <c r="E28" s="15">
        <v>1</v>
      </c>
      <c r="F28" s="15">
        <v>2</v>
      </c>
      <c r="G28" s="15">
        <v>4</v>
      </c>
      <c r="H28" s="15">
        <f t="shared" si="0"/>
        <v>2.2000000000000002</v>
      </c>
      <c r="I28" s="20">
        <v>0.1</v>
      </c>
      <c r="J28" s="15">
        <f t="shared" si="1"/>
        <v>2.4200000000000004</v>
      </c>
      <c r="K28" s="15" t="s">
        <v>28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1.25" customHeight="1">
      <c r="A29" s="15"/>
      <c r="B29" s="16">
        <v>21</v>
      </c>
      <c r="C29" s="22" t="s">
        <v>58</v>
      </c>
      <c r="D29" s="21" t="s">
        <v>59</v>
      </c>
      <c r="E29" s="15">
        <v>1</v>
      </c>
      <c r="F29" s="15">
        <v>2</v>
      </c>
      <c r="G29" s="15">
        <v>4</v>
      </c>
      <c r="H29" s="15">
        <f t="shared" si="0"/>
        <v>2.2000000000000002</v>
      </c>
      <c r="I29" s="20">
        <v>0.1</v>
      </c>
      <c r="J29" s="15">
        <f t="shared" si="1"/>
        <v>2.4200000000000004</v>
      </c>
      <c r="K29" s="15" t="s">
        <v>28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1.25" customHeight="1">
      <c r="A30" s="15"/>
      <c r="B30" s="16">
        <v>22</v>
      </c>
      <c r="C30" s="22" t="s">
        <v>60</v>
      </c>
      <c r="D30" s="21" t="s">
        <v>61</v>
      </c>
      <c r="E30" s="15">
        <v>1</v>
      </c>
      <c r="F30" s="15">
        <v>2</v>
      </c>
      <c r="G30" s="15">
        <v>4</v>
      </c>
      <c r="H30" s="15">
        <f t="shared" si="0"/>
        <v>2.2000000000000002</v>
      </c>
      <c r="I30" s="20">
        <v>0.1</v>
      </c>
      <c r="J30" s="15">
        <f t="shared" si="1"/>
        <v>2.4200000000000004</v>
      </c>
      <c r="K30" s="15" t="s">
        <v>28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1.25" customHeight="1">
      <c r="A31" s="15"/>
      <c r="B31" s="16">
        <v>23</v>
      </c>
      <c r="C31" s="22" t="s">
        <v>62</v>
      </c>
      <c r="D31" s="21" t="s">
        <v>63</v>
      </c>
      <c r="E31" s="15">
        <v>1</v>
      </c>
      <c r="F31" s="15">
        <v>2</v>
      </c>
      <c r="G31" s="15">
        <v>4</v>
      </c>
      <c r="H31" s="15">
        <f t="shared" si="0"/>
        <v>2.2000000000000002</v>
      </c>
      <c r="I31" s="20">
        <v>0.1</v>
      </c>
      <c r="J31" s="15">
        <f t="shared" si="1"/>
        <v>2.4200000000000004</v>
      </c>
      <c r="K31" s="15" t="s">
        <v>28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1.25" customHeight="1">
      <c r="A32" s="15"/>
      <c r="B32" s="16">
        <v>24</v>
      </c>
      <c r="C32" s="22" t="s">
        <v>64</v>
      </c>
      <c r="D32" s="21" t="s">
        <v>65</v>
      </c>
      <c r="E32" s="15">
        <v>1</v>
      </c>
      <c r="F32" s="15">
        <v>2</v>
      </c>
      <c r="G32" s="15">
        <v>4</v>
      </c>
      <c r="H32" s="15">
        <f t="shared" si="0"/>
        <v>2.2000000000000002</v>
      </c>
      <c r="I32" s="20">
        <v>0.1</v>
      </c>
      <c r="J32" s="15">
        <f t="shared" si="1"/>
        <v>2.4200000000000004</v>
      </c>
      <c r="K32" s="15" t="s">
        <v>28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1.25" customHeight="1">
      <c r="A33" s="15"/>
      <c r="B33" s="16" t="s">
        <v>10</v>
      </c>
      <c r="C33" s="18" t="s">
        <v>66</v>
      </c>
      <c r="D33" s="15"/>
      <c r="E33" s="15"/>
      <c r="F33" s="15"/>
      <c r="G33" s="15"/>
      <c r="H33" s="15"/>
      <c r="I33" s="15"/>
      <c r="J33" s="15"/>
      <c r="K33" s="1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1.25" customHeight="1">
      <c r="A34" s="15"/>
      <c r="B34" s="16">
        <v>21</v>
      </c>
      <c r="C34" s="22" t="s">
        <v>67</v>
      </c>
      <c r="D34" s="19" t="s">
        <v>68</v>
      </c>
      <c r="E34" s="15">
        <v>1</v>
      </c>
      <c r="F34" s="15">
        <v>3</v>
      </c>
      <c r="G34" s="15">
        <v>4</v>
      </c>
      <c r="H34" s="15">
        <f t="shared" si="0"/>
        <v>2.8</v>
      </c>
      <c r="I34" s="20">
        <v>0.1</v>
      </c>
      <c r="J34" s="15">
        <f t="shared" si="1"/>
        <v>3.0799999999999996</v>
      </c>
      <c r="K34" s="15" t="s">
        <v>28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1.25" customHeight="1">
      <c r="A35" s="15"/>
      <c r="B35" s="16">
        <v>22</v>
      </c>
      <c r="C35" s="22" t="s">
        <v>69</v>
      </c>
      <c r="D35" s="21" t="s">
        <v>70</v>
      </c>
      <c r="E35" s="15">
        <v>1</v>
      </c>
      <c r="F35" s="15">
        <v>2</v>
      </c>
      <c r="G35" s="15">
        <v>4</v>
      </c>
      <c r="H35" s="15">
        <f t="shared" si="0"/>
        <v>2.2000000000000002</v>
      </c>
      <c r="I35" s="20">
        <v>0.1</v>
      </c>
      <c r="J35" s="15">
        <f t="shared" si="1"/>
        <v>2.4200000000000004</v>
      </c>
      <c r="K35" s="15" t="s">
        <v>28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1.25" customHeight="1">
      <c r="A36" s="15"/>
      <c r="B36" s="16">
        <v>23</v>
      </c>
      <c r="C36" s="22" t="s">
        <v>71</v>
      </c>
      <c r="D36" s="21" t="s">
        <v>72</v>
      </c>
      <c r="E36" s="15">
        <v>1</v>
      </c>
      <c r="F36" s="15">
        <v>2</v>
      </c>
      <c r="G36" s="15">
        <v>4</v>
      </c>
      <c r="H36" s="15">
        <f t="shared" si="0"/>
        <v>2.2000000000000002</v>
      </c>
      <c r="I36" s="20">
        <v>0.1</v>
      </c>
      <c r="J36" s="15">
        <f t="shared" si="1"/>
        <v>2.4200000000000004</v>
      </c>
      <c r="K36" s="15" t="s">
        <v>28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1.25" customHeight="1">
      <c r="A37" s="15"/>
      <c r="B37" s="16">
        <v>24</v>
      </c>
      <c r="C37" s="22" t="s">
        <v>73</v>
      </c>
      <c r="D37" s="21" t="s">
        <v>74</v>
      </c>
      <c r="E37" s="15">
        <v>1</v>
      </c>
      <c r="F37" s="15">
        <v>2</v>
      </c>
      <c r="G37" s="15">
        <v>4</v>
      </c>
      <c r="H37" s="15">
        <f t="shared" si="0"/>
        <v>2.2000000000000002</v>
      </c>
      <c r="I37" s="20">
        <v>0.1</v>
      </c>
      <c r="J37" s="15">
        <f t="shared" si="1"/>
        <v>2.4200000000000004</v>
      </c>
      <c r="K37" s="15" t="s">
        <v>28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1.25" customHeight="1">
      <c r="A38" s="15"/>
      <c r="B38" s="16">
        <v>25</v>
      </c>
      <c r="C38" s="22" t="s">
        <v>75</v>
      </c>
      <c r="D38" s="21" t="s">
        <v>76</v>
      </c>
      <c r="E38" s="15">
        <v>1</v>
      </c>
      <c r="F38" s="15">
        <v>2</v>
      </c>
      <c r="G38" s="15">
        <v>4</v>
      </c>
      <c r="H38" s="15">
        <f t="shared" si="0"/>
        <v>2.2000000000000002</v>
      </c>
      <c r="I38" s="20">
        <v>0.1</v>
      </c>
      <c r="J38" s="15">
        <f t="shared" si="1"/>
        <v>2.4200000000000004</v>
      </c>
      <c r="K38" s="15" t="s">
        <v>28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1.25" customHeight="1">
      <c r="A39" s="15"/>
      <c r="B39" s="16">
        <v>26</v>
      </c>
      <c r="C39" s="22" t="s">
        <v>77</v>
      </c>
      <c r="D39" s="21" t="s">
        <v>78</v>
      </c>
      <c r="E39" s="15">
        <v>1</v>
      </c>
      <c r="F39" s="15">
        <v>2</v>
      </c>
      <c r="G39" s="15">
        <v>4</v>
      </c>
      <c r="H39" s="15">
        <f t="shared" si="0"/>
        <v>2.2000000000000002</v>
      </c>
      <c r="I39" s="20">
        <v>0.1</v>
      </c>
      <c r="J39" s="15">
        <f t="shared" si="1"/>
        <v>2.4200000000000004</v>
      </c>
      <c r="K39" s="15" t="s">
        <v>28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1.25" customHeight="1">
      <c r="A40" s="15"/>
      <c r="B40" s="16" t="s">
        <v>10</v>
      </c>
      <c r="C40" s="18" t="s">
        <v>79</v>
      </c>
      <c r="D40" s="15"/>
      <c r="E40" s="15"/>
      <c r="F40" s="15"/>
      <c r="G40" s="15"/>
      <c r="H40" s="15"/>
      <c r="I40" s="15"/>
      <c r="J40" s="15"/>
      <c r="K40" s="1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1.25" customHeight="1">
      <c r="A41" s="15"/>
      <c r="B41" s="16">
        <v>27</v>
      </c>
      <c r="C41" s="22" t="s">
        <v>80</v>
      </c>
      <c r="D41" s="19" t="s">
        <v>81</v>
      </c>
      <c r="E41" s="15">
        <v>2</v>
      </c>
      <c r="F41" s="15">
        <v>3</v>
      </c>
      <c r="G41" s="15">
        <v>5</v>
      </c>
      <c r="H41" s="15">
        <f t="shared" si="0"/>
        <v>3.2</v>
      </c>
      <c r="I41" s="20">
        <v>0.1</v>
      </c>
      <c r="J41" s="15">
        <f t="shared" si="1"/>
        <v>3.5200000000000005</v>
      </c>
      <c r="K41" s="15" t="s">
        <v>28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1.25" customHeight="1">
      <c r="A42" s="15"/>
      <c r="B42" s="16">
        <v>28</v>
      </c>
      <c r="C42" s="22" t="s">
        <v>82</v>
      </c>
      <c r="D42" s="21" t="s">
        <v>83</v>
      </c>
      <c r="E42" s="15">
        <v>2</v>
      </c>
      <c r="F42" s="15">
        <v>3</v>
      </c>
      <c r="G42" s="15">
        <v>5</v>
      </c>
      <c r="H42" s="15">
        <f t="shared" si="0"/>
        <v>3.2</v>
      </c>
      <c r="I42" s="20">
        <v>0.1</v>
      </c>
      <c r="J42" s="15">
        <f t="shared" si="1"/>
        <v>3.5200000000000005</v>
      </c>
      <c r="K42" s="15" t="s">
        <v>28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1.25" customHeight="1">
      <c r="A43" s="15"/>
      <c r="B43" s="16">
        <v>29</v>
      </c>
      <c r="C43" s="18" t="s">
        <v>84</v>
      </c>
      <c r="D43" s="21" t="s">
        <v>85</v>
      </c>
      <c r="E43" s="15">
        <v>1</v>
      </c>
      <c r="F43" s="15">
        <v>3</v>
      </c>
      <c r="G43" s="15">
        <v>3</v>
      </c>
      <c r="H43" s="15">
        <f t="shared" si="0"/>
        <v>2.7</v>
      </c>
      <c r="I43" s="20">
        <v>0.1</v>
      </c>
      <c r="J43" s="15">
        <f t="shared" si="1"/>
        <v>2.97</v>
      </c>
      <c r="K43" s="15" t="s">
        <v>28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1.25" customHeight="1">
      <c r="A44" s="15"/>
      <c r="B44" s="16">
        <v>30</v>
      </c>
      <c r="C44" s="18" t="s">
        <v>86</v>
      </c>
      <c r="D44" s="21" t="s">
        <v>87</v>
      </c>
      <c r="E44" s="15">
        <v>1</v>
      </c>
      <c r="F44" s="15">
        <v>3</v>
      </c>
      <c r="G44" s="15">
        <v>4</v>
      </c>
      <c r="H44" s="15">
        <f t="shared" si="0"/>
        <v>2.8</v>
      </c>
      <c r="I44" s="20">
        <v>0.1</v>
      </c>
      <c r="J44" s="15">
        <f t="shared" si="1"/>
        <v>3.0799999999999996</v>
      </c>
      <c r="K44" s="15" t="s">
        <v>28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" customHeight="1">
      <c r="A45" s="15"/>
      <c r="B45" s="16" t="s">
        <v>10</v>
      </c>
      <c r="C45" s="17" t="s">
        <v>88</v>
      </c>
      <c r="D45" s="21" t="s">
        <v>10</v>
      </c>
      <c r="E45" s="15"/>
      <c r="F45" s="15"/>
      <c r="G45" s="15"/>
      <c r="H45" s="15"/>
      <c r="I45" s="15"/>
      <c r="J45" s="15"/>
      <c r="K45" s="1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1.25" customHeight="1">
      <c r="A46" s="15"/>
      <c r="B46" s="16">
        <v>31</v>
      </c>
      <c r="C46" s="18" t="s">
        <v>89</v>
      </c>
      <c r="D46" s="21" t="s">
        <v>90</v>
      </c>
      <c r="E46" s="15">
        <v>2</v>
      </c>
      <c r="F46" s="15">
        <v>3</v>
      </c>
      <c r="G46" s="15">
        <v>6</v>
      </c>
      <c r="H46" s="15">
        <f t="shared" si="0"/>
        <v>3.3</v>
      </c>
      <c r="I46" s="20">
        <v>0.1</v>
      </c>
      <c r="J46" s="15">
        <f t="shared" si="1"/>
        <v>3.63</v>
      </c>
      <c r="K46" s="15" t="s">
        <v>91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1.25" customHeight="1">
      <c r="A47" s="15"/>
      <c r="B47" s="16">
        <v>32</v>
      </c>
      <c r="C47" s="18" t="s">
        <v>92</v>
      </c>
      <c r="D47" s="21" t="s">
        <v>93</v>
      </c>
      <c r="E47" s="15">
        <v>2</v>
      </c>
      <c r="F47" s="15">
        <v>3</v>
      </c>
      <c r="G47" s="15">
        <v>5</v>
      </c>
      <c r="H47" s="15">
        <f t="shared" si="0"/>
        <v>3.2</v>
      </c>
      <c r="I47" s="20">
        <v>0.1</v>
      </c>
      <c r="J47" s="15">
        <f t="shared" si="1"/>
        <v>3.5200000000000005</v>
      </c>
      <c r="K47" s="15" t="s">
        <v>91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1.25" customHeight="1">
      <c r="A48" s="15"/>
      <c r="B48" s="16">
        <v>33</v>
      </c>
      <c r="C48" s="18" t="s">
        <v>94</v>
      </c>
      <c r="D48" s="21" t="s">
        <v>95</v>
      </c>
      <c r="E48" s="15">
        <v>2</v>
      </c>
      <c r="F48" s="15">
        <v>3</v>
      </c>
      <c r="G48" s="15">
        <v>5</v>
      </c>
      <c r="H48" s="15">
        <f t="shared" si="0"/>
        <v>3.2</v>
      </c>
      <c r="I48" s="20">
        <v>0.1</v>
      </c>
      <c r="J48" s="15">
        <f t="shared" si="1"/>
        <v>3.5200000000000005</v>
      </c>
      <c r="K48" s="15" t="s">
        <v>91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1.25" customHeight="1">
      <c r="A49" s="15"/>
      <c r="B49" s="16">
        <v>34</v>
      </c>
      <c r="C49" s="18" t="s">
        <v>96</v>
      </c>
      <c r="D49" s="21" t="s">
        <v>97</v>
      </c>
      <c r="E49" s="15">
        <v>2</v>
      </c>
      <c r="F49" s="15">
        <v>3</v>
      </c>
      <c r="G49" s="15">
        <v>7</v>
      </c>
      <c r="H49" s="15">
        <f t="shared" si="0"/>
        <v>3.5</v>
      </c>
      <c r="I49" s="20">
        <v>0.1</v>
      </c>
      <c r="J49" s="15">
        <f t="shared" si="1"/>
        <v>3.85</v>
      </c>
      <c r="K49" s="15" t="s">
        <v>91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1.25" customHeight="1">
      <c r="A50" s="15"/>
      <c r="B50" s="16" t="s">
        <v>10</v>
      </c>
      <c r="C50" s="18" t="s">
        <v>98</v>
      </c>
      <c r="D50" s="21" t="s">
        <v>10</v>
      </c>
      <c r="E50" s="15"/>
      <c r="F50" s="15"/>
      <c r="G50" s="15"/>
      <c r="H50" s="15"/>
      <c r="I50" s="15"/>
      <c r="J50" s="15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1.25" customHeight="1">
      <c r="A51" s="15"/>
      <c r="B51" s="16">
        <v>35</v>
      </c>
      <c r="C51" s="22" t="s">
        <v>99</v>
      </c>
      <c r="D51" s="21" t="s">
        <v>100</v>
      </c>
      <c r="E51" s="15">
        <v>2</v>
      </c>
      <c r="F51" s="15">
        <v>3</v>
      </c>
      <c r="G51" s="15">
        <v>7</v>
      </c>
      <c r="H51" s="15">
        <f t="shared" si="0"/>
        <v>3.5</v>
      </c>
      <c r="I51" s="20">
        <v>0.1</v>
      </c>
      <c r="J51" s="15">
        <f t="shared" si="1"/>
        <v>3.85</v>
      </c>
      <c r="K51" s="15" t="s">
        <v>91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1.25" customHeight="1">
      <c r="A52" s="15"/>
      <c r="B52" s="16">
        <v>36</v>
      </c>
      <c r="C52" s="22" t="s">
        <v>101</v>
      </c>
      <c r="D52" s="21" t="s">
        <v>102</v>
      </c>
      <c r="E52" s="15">
        <v>2</v>
      </c>
      <c r="F52" s="15">
        <v>3</v>
      </c>
      <c r="G52" s="15">
        <v>7</v>
      </c>
      <c r="H52" s="15">
        <f t="shared" si="0"/>
        <v>3.5</v>
      </c>
      <c r="I52" s="20">
        <v>0.1</v>
      </c>
      <c r="J52" s="15">
        <f t="shared" si="1"/>
        <v>3.85</v>
      </c>
      <c r="K52" s="15" t="s">
        <v>91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1.25" customHeight="1">
      <c r="A53" s="15"/>
      <c r="B53" s="16">
        <v>37</v>
      </c>
      <c r="C53" s="22" t="s">
        <v>103</v>
      </c>
      <c r="D53" s="21" t="s">
        <v>104</v>
      </c>
      <c r="E53" s="15">
        <v>2</v>
      </c>
      <c r="F53" s="15">
        <v>3</v>
      </c>
      <c r="G53" s="15">
        <v>7</v>
      </c>
      <c r="H53" s="15">
        <f t="shared" si="0"/>
        <v>3.5</v>
      </c>
      <c r="I53" s="20">
        <v>0.1</v>
      </c>
      <c r="J53" s="15">
        <f t="shared" si="1"/>
        <v>3.85</v>
      </c>
      <c r="K53" s="15" t="s">
        <v>91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1.25" customHeight="1">
      <c r="A54" s="15"/>
      <c r="B54" s="16">
        <v>38</v>
      </c>
      <c r="C54" s="22" t="s">
        <v>105</v>
      </c>
      <c r="D54" s="21" t="s">
        <v>106</v>
      </c>
      <c r="E54" s="15">
        <v>2</v>
      </c>
      <c r="F54" s="15">
        <v>3</v>
      </c>
      <c r="G54" s="15">
        <v>7</v>
      </c>
      <c r="H54" s="15">
        <f t="shared" si="0"/>
        <v>3.5</v>
      </c>
      <c r="I54" s="20">
        <v>0.1</v>
      </c>
      <c r="J54" s="15">
        <f t="shared" si="1"/>
        <v>3.85</v>
      </c>
      <c r="K54" s="15" t="s">
        <v>91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1.25" customHeight="1">
      <c r="A55" s="15"/>
      <c r="B55" s="16">
        <v>39</v>
      </c>
      <c r="C55" s="22" t="s">
        <v>107</v>
      </c>
      <c r="D55" s="21" t="s">
        <v>108</v>
      </c>
      <c r="E55" s="15">
        <v>2</v>
      </c>
      <c r="F55" s="15">
        <v>3</v>
      </c>
      <c r="G55" s="15">
        <v>7</v>
      </c>
      <c r="H55" s="15">
        <f t="shared" si="0"/>
        <v>3.5</v>
      </c>
      <c r="I55" s="20">
        <v>0.1</v>
      </c>
      <c r="J55" s="15">
        <f t="shared" si="1"/>
        <v>3.85</v>
      </c>
      <c r="K55" s="15" t="s">
        <v>91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1.25" customHeight="1">
      <c r="A56" s="15"/>
      <c r="B56" s="16">
        <v>40</v>
      </c>
      <c r="C56" s="22" t="s">
        <v>109</v>
      </c>
      <c r="D56" s="21" t="s">
        <v>110</v>
      </c>
      <c r="E56" s="15">
        <v>1</v>
      </c>
      <c r="F56" s="15">
        <v>3</v>
      </c>
      <c r="G56" s="15">
        <v>3</v>
      </c>
      <c r="H56" s="15">
        <f t="shared" si="0"/>
        <v>2.7</v>
      </c>
      <c r="I56" s="20">
        <v>0.1</v>
      </c>
      <c r="J56" s="15">
        <f t="shared" si="1"/>
        <v>2.97</v>
      </c>
      <c r="K56" s="15" t="s">
        <v>91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1.25" customHeight="1">
      <c r="A57" s="15"/>
      <c r="B57" s="16">
        <v>41</v>
      </c>
      <c r="C57" s="22" t="s">
        <v>111</v>
      </c>
      <c r="D57" s="21" t="s">
        <v>112</v>
      </c>
      <c r="E57" s="15">
        <v>2</v>
      </c>
      <c r="F57" s="15">
        <v>3</v>
      </c>
      <c r="G57" s="15">
        <v>7</v>
      </c>
      <c r="H57" s="15">
        <f t="shared" si="0"/>
        <v>3.5</v>
      </c>
      <c r="I57" s="20">
        <v>0.1</v>
      </c>
      <c r="J57" s="15">
        <f t="shared" si="1"/>
        <v>3.85</v>
      </c>
      <c r="K57" s="15" t="s">
        <v>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1.25" customHeight="1">
      <c r="A58" s="15"/>
      <c r="B58" s="16">
        <v>42</v>
      </c>
      <c r="C58" s="18" t="s">
        <v>113</v>
      </c>
      <c r="D58" s="21" t="s">
        <v>114</v>
      </c>
      <c r="E58" s="15">
        <v>1</v>
      </c>
      <c r="F58" s="15">
        <v>3</v>
      </c>
      <c r="G58" s="15">
        <v>4</v>
      </c>
      <c r="H58" s="15">
        <f t="shared" si="0"/>
        <v>2.8</v>
      </c>
      <c r="I58" s="20">
        <v>0.1</v>
      </c>
      <c r="J58" s="15">
        <f t="shared" si="1"/>
        <v>3.0799999999999996</v>
      </c>
      <c r="K58" s="15" t="s">
        <v>91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" customHeight="1">
      <c r="A59" s="15"/>
      <c r="B59" s="16" t="s">
        <v>10</v>
      </c>
      <c r="C59" s="17" t="s">
        <v>115</v>
      </c>
      <c r="D59" s="21" t="s">
        <v>10</v>
      </c>
      <c r="E59" s="15"/>
      <c r="F59" s="15"/>
      <c r="G59" s="15"/>
      <c r="H59" s="15"/>
      <c r="I59" s="15"/>
      <c r="J59" s="15"/>
      <c r="K59" s="1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1.25" customHeight="1">
      <c r="A60" s="15"/>
      <c r="B60" s="16" t="s">
        <v>10</v>
      </c>
      <c r="C60" s="18" t="s">
        <v>116</v>
      </c>
      <c r="D60" s="15"/>
      <c r="E60" s="15"/>
      <c r="F60" s="15"/>
      <c r="G60" s="15"/>
      <c r="H60" s="15"/>
      <c r="I60" s="15"/>
      <c r="J60" s="15"/>
      <c r="K60" s="1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1.25" customHeight="1">
      <c r="A61" s="15"/>
      <c r="B61" s="16">
        <v>43</v>
      </c>
      <c r="C61" s="22" t="s">
        <v>117</v>
      </c>
      <c r="D61" s="19" t="s">
        <v>118</v>
      </c>
      <c r="E61" s="15">
        <v>1</v>
      </c>
      <c r="F61" s="15">
        <v>3</v>
      </c>
      <c r="G61" s="15">
        <v>5</v>
      </c>
      <c r="H61" s="15">
        <f t="shared" si="0"/>
        <v>3</v>
      </c>
      <c r="I61" s="20">
        <v>0.1</v>
      </c>
      <c r="J61" s="15">
        <f t="shared" si="1"/>
        <v>3.3</v>
      </c>
      <c r="K61" s="15" t="s">
        <v>119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1.25" customHeight="1">
      <c r="A62" s="15"/>
      <c r="B62" s="16">
        <v>44</v>
      </c>
      <c r="C62" s="22" t="s">
        <v>120</v>
      </c>
      <c r="D62" s="21" t="s">
        <v>121</v>
      </c>
      <c r="E62" s="15">
        <v>1</v>
      </c>
      <c r="F62" s="15">
        <v>3</v>
      </c>
      <c r="G62" s="15">
        <v>5</v>
      </c>
      <c r="H62" s="15">
        <f t="shared" si="0"/>
        <v>3</v>
      </c>
      <c r="I62" s="20">
        <v>0.1</v>
      </c>
      <c r="J62" s="15">
        <f t="shared" si="1"/>
        <v>3.3</v>
      </c>
      <c r="K62" s="15" t="s">
        <v>119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1.25" customHeight="1">
      <c r="A63" s="15"/>
      <c r="B63" s="16">
        <v>45</v>
      </c>
      <c r="C63" s="18" t="s">
        <v>122</v>
      </c>
      <c r="D63" s="21" t="s">
        <v>123</v>
      </c>
      <c r="E63" s="15">
        <v>1</v>
      </c>
      <c r="F63" s="15">
        <v>3</v>
      </c>
      <c r="G63" s="15">
        <v>5</v>
      </c>
      <c r="H63" s="15">
        <f t="shared" si="0"/>
        <v>3</v>
      </c>
      <c r="I63" s="20">
        <v>0.1</v>
      </c>
      <c r="J63" s="15">
        <f t="shared" si="1"/>
        <v>3.3</v>
      </c>
      <c r="K63" s="15" t="s">
        <v>119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1.25" customHeight="1">
      <c r="A64" s="15"/>
      <c r="B64" s="16">
        <v>46</v>
      </c>
      <c r="C64" s="18" t="s">
        <v>124</v>
      </c>
      <c r="D64" s="21" t="s">
        <v>125</v>
      </c>
      <c r="E64" s="15">
        <v>2</v>
      </c>
      <c r="F64" s="15">
        <v>3</v>
      </c>
      <c r="G64" s="15">
        <v>6</v>
      </c>
      <c r="H64" s="15">
        <f t="shared" si="0"/>
        <v>3.3</v>
      </c>
      <c r="I64" s="20">
        <v>0.1</v>
      </c>
      <c r="J64" s="15">
        <f t="shared" si="1"/>
        <v>3.63</v>
      </c>
      <c r="K64" s="15" t="s">
        <v>119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" customHeight="1">
      <c r="A65" s="15"/>
      <c r="B65" s="16" t="s">
        <v>10</v>
      </c>
      <c r="C65" s="17" t="s">
        <v>126</v>
      </c>
      <c r="D65" s="21" t="s">
        <v>10</v>
      </c>
      <c r="E65" s="15"/>
      <c r="F65" s="15"/>
      <c r="G65" s="15"/>
      <c r="H65" s="15"/>
      <c r="I65" s="15"/>
      <c r="J65" s="15"/>
      <c r="K65" s="1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1.25" customHeight="1">
      <c r="A66" s="15"/>
      <c r="B66" s="16">
        <v>47</v>
      </c>
      <c r="C66" s="18" t="s">
        <v>127</v>
      </c>
      <c r="D66" s="21" t="s">
        <v>128</v>
      </c>
      <c r="E66" s="15">
        <v>1</v>
      </c>
      <c r="F66" s="15">
        <v>3</v>
      </c>
      <c r="G66" s="15">
        <v>4</v>
      </c>
      <c r="H66" s="15">
        <f t="shared" si="0"/>
        <v>2.8</v>
      </c>
      <c r="I66" s="20">
        <v>0.1</v>
      </c>
      <c r="J66" s="15">
        <f t="shared" si="1"/>
        <v>3.0799999999999996</v>
      </c>
      <c r="K66" s="37" t="s">
        <v>129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1.25" customHeight="1">
      <c r="A67" s="15"/>
      <c r="B67" s="16">
        <v>48</v>
      </c>
      <c r="C67" s="18" t="s">
        <v>130</v>
      </c>
      <c r="D67" s="21" t="s">
        <v>131</v>
      </c>
      <c r="E67" s="15">
        <v>1</v>
      </c>
      <c r="F67" s="15">
        <v>3</v>
      </c>
      <c r="G67" s="15">
        <v>4</v>
      </c>
      <c r="H67" s="15">
        <f t="shared" si="0"/>
        <v>2.8</v>
      </c>
      <c r="I67" s="20">
        <v>0.1</v>
      </c>
      <c r="J67" s="15">
        <f t="shared" si="1"/>
        <v>3.0799999999999996</v>
      </c>
      <c r="K67" s="37" t="s">
        <v>129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1.25" customHeight="1">
      <c r="A68" s="15"/>
      <c r="B68" s="16">
        <v>49</v>
      </c>
      <c r="C68" s="18" t="s">
        <v>132</v>
      </c>
      <c r="D68" s="21" t="s">
        <v>133</v>
      </c>
      <c r="E68" s="15">
        <v>1</v>
      </c>
      <c r="F68" s="15">
        <v>3</v>
      </c>
      <c r="G68" s="15">
        <v>3</v>
      </c>
      <c r="H68" s="15">
        <f t="shared" si="0"/>
        <v>2.7</v>
      </c>
      <c r="I68" s="20">
        <v>0.1</v>
      </c>
      <c r="J68" s="15">
        <f t="shared" si="1"/>
        <v>2.97</v>
      </c>
      <c r="K68" s="37" t="s">
        <v>129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1.25" customHeight="1">
      <c r="A69" s="15"/>
      <c r="B69" s="16">
        <v>50</v>
      </c>
      <c r="C69" s="18" t="s">
        <v>134</v>
      </c>
      <c r="D69" s="23" t="s">
        <v>135</v>
      </c>
      <c r="E69" s="15">
        <v>1</v>
      </c>
      <c r="F69" s="15">
        <v>3</v>
      </c>
      <c r="G69" s="15">
        <v>3</v>
      </c>
      <c r="H69" s="15">
        <f t="shared" ref="H69:H70" si="2">ROUND((E69+4*F69+G69)/6,1)</f>
        <v>2.7</v>
      </c>
      <c r="I69" s="20">
        <v>0.1</v>
      </c>
      <c r="J69" s="15">
        <f t="shared" si="1"/>
        <v>2.97</v>
      </c>
      <c r="K69" s="37" t="s">
        <v>129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" customHeight="1">
      <c r="A70" s="15"/>
      <c r="B70" s="16">
        <v>51</v>
      </c>
      <c r="C70" s="24" t="s">
        <v>136</v>
      </c>
      <c r="D70" s="25" t="s">
        <v>137</v>
      </c>
      <c r="E70" s="15">
        <v>2</v>
      </c>
      <c r="F70" s="15">
        <v>3</v>
      </c>
      <c r="G70" s="15">
        <v>6</v>
      </c>
      <c r="H70" s="15">
        <f t="shared" si="2"/>
        <v>3.3</v>
      </c>
      <c r="I70" s="20">
        <v>0.1</v>
      </c>
      <c r="J70" s="15">
        <f t="shared" ref="J70" si="3">H70+H70*I70</f>
        <v>3.63</v>
      </c>
      <c r="K70" s="37" t="s">
        <v>129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1.25" customHeight="1">
      <c r="A71" s="1"/>
      <c r="B71" s="2"/>
      <c r="C71" s="2"/>
      <c r="D71" s="2"/>
      <c r="E71" s="1"/>
      <c r="F71" s="1"/>
      <c r="G71" s="1"/>
      <c r="H71" s="1"/>
      <c r="I71" s="1"/>
      <c r="J71" s="1">
        <f>SUM(J3:J70)</f>
        <v>179.41000000000003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1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1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1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1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1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1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1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1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1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1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1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1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1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1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1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1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1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1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1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1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1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1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1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1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1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1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1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1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1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1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1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1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1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1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1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1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1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1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1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1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1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1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1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1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1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1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1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1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1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1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1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1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1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1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1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1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1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1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1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1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1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1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1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1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1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1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1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1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1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1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1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1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1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1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1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1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1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1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1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1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1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1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1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1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1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1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1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1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1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1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1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1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1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1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1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1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1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1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1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1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1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1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1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1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1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1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1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1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1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1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1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1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1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1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1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1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1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1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1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1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1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1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1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1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1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1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1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1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1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1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1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1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1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1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1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1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1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1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1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1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1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1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1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1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1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1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1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1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1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1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1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1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1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1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1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1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1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1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1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1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1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1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1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1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1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1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1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1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1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1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1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1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1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1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1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1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1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1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1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1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1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1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1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1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1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1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1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1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1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1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1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1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1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1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1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1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1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1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1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1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1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1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1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1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1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1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1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1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1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1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1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1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1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1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1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1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1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1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1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1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1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1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1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1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1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1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1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1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1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1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1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1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1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1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1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1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1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1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1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1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1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1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1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1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1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1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1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1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1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1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1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1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1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1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1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1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1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1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1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1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1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1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1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1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1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1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1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1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1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1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1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1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1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1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1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1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1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1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1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1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1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1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1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1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1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1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1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1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1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1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1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1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1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1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1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1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1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1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1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1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1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1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1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1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1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1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1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1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1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1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1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1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1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1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1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1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1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1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1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1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1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1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1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1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1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1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1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1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1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1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1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1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1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1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1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1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1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1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1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1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1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1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1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1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1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1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1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1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1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1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1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1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1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1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1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1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1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1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1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1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1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1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1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1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1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1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1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1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1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1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1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1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1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1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1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1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1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1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1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1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1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1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1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1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1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1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1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1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1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1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1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1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1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1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1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1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1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1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1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1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1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1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1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1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1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1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1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1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1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1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1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1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1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1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1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1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1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1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1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1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1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1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1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1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1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1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1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1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1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1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1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1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1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1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1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1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1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1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1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1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1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1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1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1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1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1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1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1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1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1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1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1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1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1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1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1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1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1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1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1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1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1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1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1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1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1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1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1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1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1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1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1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1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1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1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1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1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1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1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1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1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1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1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1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1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1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1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1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1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1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1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1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1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1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1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1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1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1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1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1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1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1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1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1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1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1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1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1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1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1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1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1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1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1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1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1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1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1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1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1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1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1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1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1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1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1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1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1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1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1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1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1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1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1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1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1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1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1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1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1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1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1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1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1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1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1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1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1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1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1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1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1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1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1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1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1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1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1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1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1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1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1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1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1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1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1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1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1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1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1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1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1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1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1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1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1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1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1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1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1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1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1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1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1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1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1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1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1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1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1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1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1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1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1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1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1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1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1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1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1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1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1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1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1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1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1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1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1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1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1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1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1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1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1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1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1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1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1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1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1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1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1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1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1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1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1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1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1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1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1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1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1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1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1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1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1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1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1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1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1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1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1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1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1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1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1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1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1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1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1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1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1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1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1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1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1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1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1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1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1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1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1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1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1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1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1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1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1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1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1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1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1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1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1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1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1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1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1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1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1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1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1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1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1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1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1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1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1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1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1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1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1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1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1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1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1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1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1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1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1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1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1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1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1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1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1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1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1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1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1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1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1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1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1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1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1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1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1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1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1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1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1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1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1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1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1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1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1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1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1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1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1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1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1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1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1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1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1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1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1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1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1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1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1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1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1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1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1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1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1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1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1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1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1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1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1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1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1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1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1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1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1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1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1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1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1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1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1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1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1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1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1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1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1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1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1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1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1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1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1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1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1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1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1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1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1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1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1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1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1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1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1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1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1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1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1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1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1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1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1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1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1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1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1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1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1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1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1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1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1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1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1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1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1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1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1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1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1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1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1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1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1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1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1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1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1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1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1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1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1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1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1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1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1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1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1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1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1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1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1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1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1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1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1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1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1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1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1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1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1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1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1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1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1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1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1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1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1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1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1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1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1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1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1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1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1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1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1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1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1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1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1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1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1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1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1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1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1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1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1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1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1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1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1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1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1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1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1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1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1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1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1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1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1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1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1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1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1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1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1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1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1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1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1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1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1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1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1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1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1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1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1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1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1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1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1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1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1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1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1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1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1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1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1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1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1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1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1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3">
    <mergeCell ref="B2:B3"/>
    <mergeCell ref="C2:C3"/>
    <mergeCell ref="D2:D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F20" sqref="F20"/>
    </sheetView>
  </sheetViews>
  <sheetFormatPr defaultColWidth="14.42578125" defaultRowHeight="15" customHeight="1"/>
  <cols>
    <col min="1" max="1" width="31" customWidth="1"/>
    <col min="2" max="4" width="28.5703125" customWidth="1"/>
    <col min="5" max="26" width="8" customWidth="1"/>
  </cols>
  <sheetData>
    <row r="1" spans="1:4" ht="17.25" customHeight="1">
      <c r="A1" s="3" t="s">
        <v>138</v>
      </c>
    </row>
    <row r="2" spans="1:4" ht="17.25" customHeight="1">
      <c r="A2" s="3" t="s">
        <v>139</v>
      </c>
    </row>
    <row r="3" spans="1:4" ht="17.25" customHeight="1">
      <c r="A3" s="4"/>
    </row>
    <row r="4" spans="1:4" ht="17.25" customHeight="1">
      <c r="A4" s="5" t="s">
        <v>140</v>
      </c>
    </row>
    <row r="5" spans="1:4" ht="18" customHeight="1">
      <c r="A5" s="26" t="s">
        <v>141</v>
      </c>
      <c r="B5" s="38"/>
      <c r="C5" s="38"/>
      <c r="D5" s="38"/>
    </row>
    <row r="6" spans="1:4" ht="18" customHeight="1">
      <c r="A6" s="26" t="s">
        <v>142</v>
      </c>
      <c r="B6" s="38"/>
      <c r="C6" s="38"/>
      <c r="D6" s="38"/>
    </row>
    <row r="7" spans="1:4" ht="18" customHeight="1">
      <c r="A7" s="26" t="s">
        <v>143</v>
      </c>
      <c r="B7" s="38"/>
      <c r="C7" s="38"/>
      <c r="D7" s="38"/>
    </row>
    <row r="8" spans="1:4" ht="18" customHeight="1">
      <c r="A8" s="27" t="s">
        <v>144</v>
      </c>
      <c r="B8" s="38"/>
      <c r="C8" s="38"/>
      <c r="D8" s="38"/>
    </row>
    <row r="9" spans="1:4" ht="18" customHeight="1">
      <c r="A9" s="26" t="s">
        <v>145</v>
      </c>
      <c r="B9" s="38"/>
      <c r="C9" s="38"/>
      <c r="D9" s="38"/>
    </row>
    <row r="10" spans="1:4" ht="18" customHeight="1">
      <c r="A10" s="26" t="s">
        <v>146</v>
      </c>
      <c r="B10" s="38"/>
      <c r="C10" s="38"/>
      <c r="D10" s="38"/>
    </row>
    <row r="11" spans="1:4" ht="18" customHeight="1">
      <c r="A11" s="26" t="s">
        <v>147</v>
      </c>
      <c r="B11" s="38"/>
      <c r="C11" s="38"/>
      <c r="D11" s="38"/>
    </row>
    <row r="12" spans="1:4" ht="18" customHeight="1">
      <c r="A12" s="26" t="s">
        <v>148</v>
      </c>
      <c r="B12" s="38"/>
      <c r="C12" s="38"/>
      <c r="D12" s="38"/>
    </row>
    <row r="13" spans="1:4" ht="36" customHeight="1">
      <c r="A13" s="26" t="s">
        <v>149</v>
      </c>
      <c r="B13" s="38"/>
      <c r="C13" s="38"/>
      <c r="D13" s="38"/>
    </row>
    <row r="14" spans="1:4" ht="18" customHeight="1">
      <c r="A14" s="26" t="s">
        <v>150</v>
      </c>
      <c r="B14" s="38"/>
      <c r="C14" s="38"/>
      <c r="D14" s="38"/>
    </row>
    <row r="15" spans="1:4" ht="18" customHeight="1">
      <c r="A15" s="26" t="s">
        <v>151</v>
      </c>
      <c r="B15" s="38"/>
      <c r="C15" s="38"/>
      <c r="D15" s="38"/>
    </row>
    <row r="16" spans="1:4" ht="18" customHeight="1">
      <c r="A16" s="26" t="s">
        <v>152</v>
      </c>
      <c r="B16" s="38"/>
      <c r="C16" s="38"/>
      <c r="D16" s="38"/>
    </row>
    <row r="17" spans="1:4" ht="35.25" customHeight="1">
      <c r="A17" s="26" t="s">
        <v>153</v>
      </c>
      <c r="B17" s="38"/>
      <c r="C17" s="38"/>
      <c r="D17" s="38"/>
    </row>
    <row r="18" spans="1:4" ht="17.25" customHeight="1">
      <c r="A18" s="28" t="s">
        <v>154</v>
      </c>
      <c r="B18" s="28" t="s">
        <v>155</v>
      </c>
      <c r="C18" s="6" t="s">
        <v>156</v>
      </c>
      <c r="D18" s="6" t="s">
        <v>157</v>
      </c>
    </row>
    <row r="19" spans="1:4" ht="17.25" customHeight="1">
      <c r="A19" s="39"/>
      <c r="B19" s="39"/>
      <c r="C19" s="6" t="s">
        <v>158</v>
      </c>
      <c r="D19" s="6" t="s">
        <v>159</v>
      </c>
    </row>
    <row r="20" spans="1:4" ht="71.25" customHeight="1">
      <c r="A20" s="7" t="s">
        <v>160</v>
      </c>
      <c r="B20" s="29" t="s">
        <v>161</v>
      </c>
      <c r="C20" s="29" t="s">
        <v>162</v>
      </c>
      <c r="D20" s="8" t="s">
        <v>163</v>
      </c>
    </row>
    <row r="21" spans="1:4" ht="18" customHeight="1">
      <c r="A21" s="9" t="s">
        <v>164</v>
      </c>
      <c r="B21" s="40"/>
      <c r="C21" s="40"/>
      <c r="D21" s="10">
        <v>1667083585</v>
      </c>
    </row>
    <row r="22" spans="1:4" ht="18" customHeight="1">
      <c r="A22" s="11" t="s">
        <v>165</v>
      </c>
      <c r="B22" s="10"/>
      <c r="C22" s="10" t="s">
        <v>166</v>
      </c>
      <c r="D22" s="10"/>
    </row>
    <row r="23" spans="1:4" ht="132" customHeight="1">
      <c r="A23" s="30" t="s">
        <v>167</v>
      </c>
      <c r="B23" s="30" t="s">
        <v>168</v>
      </c>
      <c r="C23" s="30" t="s">
        <v>169</v>
      </c>
      <c r="D23" s="31" t="s">
        <v>170</v>
      </c>
    </row>
    <row r="24" spans="1:4" ht="14.25" customHeight="1">
      <c r="A24" s="41"/>
      <c r="B24" s="41"/>
      <c r="C24" s="41"/>
      <c r="D24" s="41"/>
    </row>
    <row r="25" spans="1:4" ht="15" customHeight="1">
      <c r="A25" s="40"/>
      <c r="B25" s="40"/>
      <c r="C25" s="40"/>
      <c r="D25" s="40"/>
    </row>
    <row r="26" spans="1:4" ht="132" customHeight="1">
      <c r="A26" s="30" t="s">
        <v>171</v>
      </c>
      <c r="B26" s="30" t="s">
        <v>172</v>
      </c>
      <c r="C26" s="30" t="s">
        <v>169</v>
      </c>
      <c r="D26" s="31" t="s">
        <v>173</v>
      </c>
    </row>
    <row r="27" spans="1:4" ht="14.25" customHeight="1">
      <c r="A27" s="41"/>
      <c r="B27" s="41"/>
      <c r="C27" s="41"/>
      <c r="D27" s="41"/>
    </row>
    <row r="28" spans="1:4" ht="15" customHeight="1">
      <c r="A28" s="40"/>
      <c r="B28" s="40"/>
      <c r="C28" s="40"/>
      <c r="D28" s="40"/>
    </row>
    <row r="29" spans="1:4" ht="18" customHeight="1">
      <c r="A29" s="33" t="s">
        <v>174</v>
      </c>
      <c r="B29" s="42"/>
      <c r="C29" s="42"/>
      <c r="D29" s="43"/>
    </row>
    <row r="30" spans="1:4" ht="17.25" customHeight="1">
      <c r="A30" s="5"/>
    </row>
    <row r="31" spans="1:4" ht="17.25" customHeight="1">
      <c r="A31" s="5"/>
    </row>
    <row r="32" spans="1:4" ht="17.25" customHeight="1">
      <c r="A32" s="5" t="s">
        <v>175</v>
      </c>
    </row>
    <row r="33" spans="1:4" ht="17.25" customHeight="1">
      <c r="A33" s="34" t="s">
        <v>176</v>
      </c>
      <c r="B33" s="38"/>
      <c r="C33" s="38"/>
      <c r="D33" s="38"/>
    </row>
    <row r="34" spans="1:4" ht="18" customHeight="1">
      <c r="A34" s="12" t="s">
        <v>177</v>
      </c>
    </row>
    <row r="35" spans="1:4" ht="18" customHeight="1">
      <c r="A35" s="13" t="s">
        <v>178</v>
      </c>
      <c r="B35" s="32"/>
      <c r="C35" s="44"/>
      <c r="D35" s="45"/>
    </row>
    <row r="36" spans="1:4" ht="18" customHeight="1">
      <c r="A36" s="13" t="s">
        <v>179</v>
      </c>
      <c r="B36" s="32"/>
      <c r="C36" s="44"/>
      <c r="D36" s="45"/>
    </row>
    <row r="37" spans="1:4" ht="18" customHeight="1">
      <c r="A37" s="13" t="s">
        <v>180</v>
      </c>
      <c r="B37" s="32"/>
      <c r="C37" s="44"/>
      <c r="D37" s="45"/>
    </row>
    <row r="38" spans="1:4" ht="18" customHeight="1">
      <c r="A38" s="13" t="s">
        <v>181</v>
      </c>
      <c r="B38" s="32"/>
      <c r="C38" s="44"/>
      <c r="D38" s="45"/>
    </row>
    <row r="39" spans="1:4" ht="18" customHeight="1">
      <c r="A39" s="13" t="s">
        <v>167</v>
      </c>
      <c r="B39" s="32"/>
      <c r="C39" s="44"/>
      <c r="D39" s="45"/>
    </row>
    <row r="40" spans="1:4" ht="18" customHeight="1">
      <c r="A40" s="13" t="s">
        <v>182</v>
      </c>
      <c r="B40" s="32"/>
      <c r="C40" s="44"/>
      <c r="D40" s="45"/>
    </row>
    <row r="41" spans="1:4" ht="18" customHeight="1">
      <c r="A41" s="13" t="s">
        <v>183</v>
      </c>
      <c r="B41" s="32"/>
      <c r="C41" s="44"/>
      <c r="D41" s="45"/>
    </row>
    <row r="42" spans="1:4" ht="18" customHeight="1">
      <c r="A42" s="13" t="s">
        <v>184</v>
      </c>
      <c r="B42" s="32"/>
      <c r="C42" s="44"/>
      <c r="D42" s="45"/>
    </row>
    <row r="43" spans="1:4" ht="18" customHeight="1">
      <c r="A43" s="14"/>
    </row>
    <row r="44" spans="1:4" ht="17.25" customHeight="1">
      <c r="C44" s="5" t="s">
        <v>167</v>
      </c>
    </row>
    <row r="45" spans="1:4" ht="36" customHeight="1">
      <c r="C45" s="14" t="s">
        <v>185</v>
      </c>
    </row>
    <row r="46" spans="1:4" ht="14.25" customHeight="1"/>
    <row r="47" spans="1:4" ht="17.25" customHeight="1">
      <c r="A47" s="3"/>
    </row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B40:D40"/>
    <mergeCell ref="B41:D41"/>
    <mergeCell ref="B42:D42"/>
    <mergeCell ref="A26:A28"/>
    <mergeCell ref="B26:B28"/>
    <mergeCell ref="C26:C28"/>
    <mergeCell ref="D26:D28"/>
    <mergeCell ref="A29:D29"/>
    <mergeCell ref="A33:D33"/>
    <mergeCell ref="B35:D35"/>
    <mergeCell ref="D23:D25"/>
    <mergeCell ref="B36:D36"/>
    <mergeCell ref="B37:D37"/>
    <mergeCell ref="B38:D38"/>
    <mergeCell ref="B39:D39"/>
    <mergeCell ref="B20:B21"/>
    <mergeCell ref="C20:C21"/>
    <mergeCell ref="A23:A25"/>
    <mergeCell ref="B23:B25"/>
    <mergeCell ref="C23:C25"/>
    <mergeCell ref="A15:D15"/>
    <mergeCell ref="A16:D16"/>
    <mergeCell ref="A17:D17"/>
    <mergeCell ref="A18:A19"/>
    <mergeCell ref="B18:B19"/>
    <mergeCell ref="A10:D10"/>
    <mergeCell ref="A11:D11"/>
    <mergeCell ref="A12:D12"/>
    <mergeCell ref="A13:D13"/>
    <mergeCell ref="A14:D14"/>
    <mergeCell ref="A5:D5"/>
    <mergeCell ref="A6:D6"/>
    <mergeCell ref="A7:D7"/>
    <mergeCell ref="A8:D8"/>
    <mergeCell ref="A9:D9"/>
  </mergeCells>
  <hyperlinks>
    <hyperlink ref="D20" r:id="rId1" xr:uid="{00000000-0004-0000-0100-000000000000}"/>
    <hyperlink ref="D23" r:id="rId2" xr:uid="{00000000-0004-0000-0100-000001000000}"/>
    <hyperlink ref="D26" r:id="rId3" xr:uid="{00000000-0004-0000-0100-000002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D33A-AAC3-4BEB-9AB4-B1CFB856BA91}">
  <dimension ref="E2:F11"/>
  <sheetViews>
    <sheetView workbookViewId="0"/>
  </sheetViews>
  <sheetFormatPr defaultRowHeight="15"/>
  <sheetData>
    <row r="2" spans="5:6">
      <c r="E2" t="s">
        <v>186</v>
      </c>
    </row>
    <row r="3" spans="5:6">
      <c r="F3" t="s">
        <v>187</v>
      </c>
    </row>
    <row r="4" spans="5:6">
      <c r="F4" t="s">
        <v>188</v>
      </c>
    </row>
    <row r="5" spans="5:6">
      <c r="F5" t="s">
        <v>189</v>
      </c>
    </row>
    <row r="6" spans="5:6">
      <c r="F6" t="s">
        <v>190</v>
      </c>
    </row>
    <row r="7" spans="5:6">
      <c r="F7" t="s">
        <v>191</v>
      </c>
    </row>
    <row r="10" spans="5:6">
      <c r="E10" t="s">
        <v>192</v>
      </c>
    </row>
    <row r="11" spans="5:6">
      <c r="F11" t="s">
        <v>193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Props1.xml><?xml version="1.0" encoding="utf-8"?>
<ds:datastoreItem xmlns:ds="http://schemas.openxmlformats.org/officeDocument/2006/customXml" ds:itemID="{77AD9D5E-0C60-41EE-B88F-141A1EC09F91}"/>
</file>

<file path=customXml/itemProps2.xml><?xml version="1.0" encoding="utf-8"?>
<ds:datastoreItem xmlns:ds="http://schemas.openxmlformats.org/officeDocument/2006/customXml" ds:itemID="{001DACE1-CD45-4EAB-9D6A-6EF598C931CD}"/>
</file>

<file path=customXml/itemProps3.xml><?xml version="1.0" encoding="utf-8"?>
<ds:datastoreItem xmlns:ds="http://schemas.openxmlformats.org/officeDocument/2006/customXml" ds:itemID="{2C47F37B-A857-41BF-9F9A-F28FB57E3C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MINHNHAT</dc:creator>
  <cp:keywords/>
  <dc:description/>
  <cp:lastModifiedBy>Pham Doan Bao Thien 202490090</cp:lastModifiedBy>
  <cp:revision/>
  <dcterms:created xsi:type="dcterms:W3CDTF">2010-07-15T23:19:21Z</dcterms:created>
  <dcterms:modified xsi:type="dcterms:W3CDTF">2026-09-12T04:13:47Z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</Properties>
</file>