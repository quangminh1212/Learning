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E:\1 - BÁCH KHOA\21 - QUẢN TRỊ DỰ ÁN CNTT\"/>
    </mc:Choice>
  </mc:AlternateContent>
  <xr:revisionPtr revIDLastSave="1" documentId="13_ncr:1_{BABAE9AA-D1A0-4D92-A5BB-9963CA94C7BF}" xr6:coauthVersionLast="47" xr6:coauthVersionMax="47" xr10:uidLastSave="{037CB762-9263-4B75-BDBB-712041415104}"/>
  <bookViews>
    <workbookView xWindow="-103" yWindow="-103" windowWidth="33120" windowHeight="18000" firstSheet="4" activeTab="2" xr2:uid="{00000000-000D-0000-FFFF-FFFF00000000}"/>
  </bookViews>
  <sheets>
    <sheet name="01_TongHop" sheetId="5" r:id="rId1"/>
    <sheet name="02_CV_ThoiGian_ChiPhi" sheetId="1" r:id="rId2"/>
    <sheet name="03_NhanCong" sheetId="2" r:id="rId3"/>
    <sheet name="04_ThietBi_HaTang" sheetId="3" r:id="rId4"/>
    <sheet name="05_ChiKhac"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2" l="1"/>
  <c r="H11" i="5"/>
  <c r="G11" i="5"/>
  <c r="F11" i="5"/>
  <c r="E11" i="5"/>
  <c r="D11" i="5"/>
  <c r="C11" i="5"/>
  <c r="I11" i="5" s="1"/>
  <c r="H10" i="5"/>
  <c r="G10" i="5"/>
  <c r="F10" i="5"/>
  <c r="E10" i="5"/>
  <c r="D10" i="5"/>
  <c r="C10" i="5"/>
  <c r="H9" i="5"/>
  <c r="G9" i="5"/>
  <c r="F9" i="5"/>
  <c r="E9" i="5"/>
  <c r="D9" i="5"/>
  <c r="C9" i="5"/>
  <c r="I26" i="4"/>
  <c r="I25" i="4"/>
  <c r="I27" i="4" s="1"/>
  <c r="H14" i="3"/>
  <c r="F29" i="2"/>
  <c r="G29" i="2" s="1"/>
  <c r="F28" i="2"/>
  <c r="G28" i="2" s="1"/>
  <c r="F25" i="2"/>
  <c r="G25" i="2" s="1"/>
  <c r="F24" i="2"/>
  <c r="F23" i="2"/>
  <c r="G23" i="2" s="1"/>
  <c r="F21" i="2"/>
  <c r="G21" i="2" s="1"/>
  <c r="F19" i="2"/>
  <c r="G19" i="2" s="1"/>
  <c r="F18" i="2"/>
  <c r="G18" i="2" s="1"/>
  <c r="F17" i="2"/>
  <c r="G17" i="2" s="1"/>
  <c r="F16" i="2"/>
  <c r="G16" i="2" s="1"/>
  <c r="F14" i="2"/>
  <c r="G14" i="2" s="1"/>
  <c r="F13" i="2"/>
  <c r="G13" i="2" s="1"/>
  <c r="F12" i="2"/>
  <c r="F11" i="2"/>
  <c r="G11" i="2" s="1"/>
  <c r="F10" i="2"/>
  <c r="G10" i="2" s="1"/>
  <c r="F8" i="2"/>
  <c r="G8" i="2" s="1"/>
  <c r="F6" i="2"/>
  <c r="I23" i="1"/>
  <c r="K23" i="1" s="1"/>
  <c r="I22" i="1"/>
  <c r="K22" i="1" s="1"/>
  <c r="I21" i="1"/>
  <c r="K21" i="1" s="1"/>
  <c r="I20" i="1"/>
  <c r="K20" i="1" s="1"/>
  <c r="I19" i="1"/>
  <c r="K19" i="1" s="1"/>
  <c r="I18" i="1"/>
  <c r="K18" i="1" s="1"/>
  <c r="I17" i="1"/>
  <c r="K17" i="1" s="1"/>
  <c r="I16" i="1"/>
  <c r="K16" i="1" s="1"/>
  <c r="I15" i="1"/>
  <c r="F15" i="2" s="1"/>
  <c r="G15" i="2" s="1"/>
  <c r="I14" i="1"/>
  <c r="K14" i="1" s="1"/>
  <c r="I13" i="1"/>
  <c r="F20" i="2" s="1"/>
  <c r="G20" i="2" s="1"/>
  <c r="I12" i="1"/>
  <c r="F26" i="2" s="1"/>
  <c r="G26" i="2" s="1"/>
  <c r="I11" i="1"/>
  <c r="K11" i="1" s="1"/>
  <c r="K10" i="1"/>
  <c r="I10" i="1"/>
  <c r="F7" i="2" s="1"/>
  <c r="I9" i="1"/>
  <c r="K9" i="1" s="1"/>
  <c r="I8" i="1"/>
  <c r="K8" i="1" s="1"/>
  <c r="I7" i="1"/>
  <c r="K7" i="1" s="1"/>
  <c r="I6" i="1"/>
  <c r="K6" i="1" s="1"/>
  <c r="I5" i="1"/>
  <c r="K5" i="1" s="1"/>
  <c r="I10" i="5" l="1"/>
  <c r="I9" i="5"/>
  <c r="E8" i="5"/>
  <c r="E12" i="5" s="1"/>
  <c r="G7" i="2"/>
  <c r="D8" i="5" s="1"/>
  <c r="D12" i="5" s="1"/>
  <c r="H8" i="5"/>
  <c r="H12" i="5" s="1"/>
  <c r="C34" i="2"/>
  <c r="K15" i="1"/>
  <c r="G12" i="2"/>
  <c r="D34" i="2" s="1"/>
  <c r="I24" i="1"/>
  <c r="F22" i="2"/>
  <c r="G22" i="2" s="1"/>
  <c r="D35" i="2" s="1"/>
  <c r="G24" i="2"/>
  <c r="F9" i="2"/>
  <c r="G9" i="2" s="1"/>
  <c r="F8" i="5" s="1"/>
  <c r="F12" i="5" s="1"/>
  <c r="K12" i="1"/>
  <c r="K24" i="1" s="1"/>
  <c r="K13" i="1"/>
  <c r="F27" i="2"/>
  <c r="G27" i="2" s="1"/>
  <c r="C35" i="2" l="1"/>
  <c r="D36" i="2"/>
  <c r="F30" i="2"/>
  <c r="D33" i="2"/>
  <c r="G30" i="2"/>
  <c r="G8" i="5"/>
  <c r="G12" i="5" s="1"/>
  <c r="C8" i="5"/>
  <c r="C33" i="2"/>
  <c r="C36" i="2"/>
  <c r="C12" i="5" l="1"/>
  <c r="I8" i="5"/>
  <c r="I12" i="5" s="1"/>
</calcChain>
</file>

<file path=xl/sharedStrings.xml><?xml version="1.0" encoding="utf-8"?>
<sst xmlns="http://schemas.openxmlformats.org/spreadsheetml/2006/main" count="471" uniqueCount="214">
  <si>
    <t>BẢNG DỰ TOÁN KINH PHÍ THEO GIAI ĐOẠN – DỰ ÁN SMARTBOX</t>
  </si>
  <si>
    <t>ĐỀ TÀI</t>
  </si>
  <si>
    <t>Phát triển và triển khai Hệ thống quản lý tủ đồ thông minh Smartbox tại KĐT Vinhomes Ocean Park, Gia Lâm</t>
  </si>
  <si>
    <t>MÃ SỐ</t>
  </si>
  <si>
    <t>CNTT2026_N05</t>
  </si>
  <si>
    <t>CHỦ NHIỆM</t>
  </si>
  <si>
    <t>Hoàng Đàm Khánh</t>
  </si>
  <si>
    <t>THỜI GIAN</t>
  </si>
  <si>
    <t>08/09/2026 – 26/02/2027 (06 tháng)</t>
  </si>
  <si>
    <t>TT</t>
  </si>
  <si>
    <t>Danh mục</t>
  </si>
  <si>
    <t>1. Scope</t>
  </si>
  <si>
    <t>2. Analysis</t>
  </si>
  <si>
    <t>3. Design</t>
  </si>
  <si>
    <t>4. Development</t>
  </si>
  <si>
    <t>5. Testing</t>
  </si>
  <si>
    <t>6. Deployment</t>
  </si>
  <si>
    <t>Tổng</t>
  </si>
  <si>
    <t>Ghi chú</t>
  </si>
  <si>
    <t>Công lao động</t>
  </si>
  <si>
    <t>Phân bổ theo ngày công của 19 gói WBS; hạch toán theo giai đoạn hoàn thành.</t>
  </si>
  <si>
    <t>Hạ tầng, thiết bị demo</t>
  </si>
  <si>
    <t>Thiết bị/hạ tầng được gắn trực tiếp với WBS tại sheet 04.</t>
  </si>
  <si>
    <t>Chi khác</t>
  </si>
  <si>
    <t>Chi nghiệp vụ/quản trị/kiểm thử gắn trực tiếp với WBS tại sheet 05.</t>
  </si>
  <si>
    <t>Dự phòng rủi ro</t>
  </si>
  <si>
    <t>Chỉ sử dụng khi rủi ro phát sinh và được nhóm/PM phê duyệt.</t>
  </si>
  <si>
    <t>TỔNG KINH PHÍ GIAI ĐOẠN</t>
  </si>
  <si>
    <t>Tổng ngân sách toàn dự án</t>
  </si>
  <si>
    <t>NGUYÊN TẮC GIẢI NGÂN / ỨNG KINH PHÍ</t>
  </si>
  <si>
    <t>Mỗi khoản chi được gắn với giai đoạn và WBS cụ thể. Khi giai đoạn hoàn thành, các deliverable được rà soát/ghi nhận, nhóm tổng hợp phần chi phí của giai đoạn đó để đề nghị ứng hoặc hoàn ứng.Các sheet 03–05 là căn cứ đối chiếu chi tiết.</t>
  </si>
  <si>
    <t>Tổng: 250.000.000 nhân công + 300.000.000 hạ tầng/thiết bị + 400.000.000 chi khác + 50.000.000 dự phòng = 1.000.000.000 đồng.</t>
  </si>
  <si>
    <t>CÔNG VIỆC – THỜI GIAN – KINH PHÍ NHÂN CÔNG (WBS RÚT GỌN)</t>
  </si>
  <si>
    <t>Căn cứ: WBS cân bằng nguồn lực | Đơn vị thời gian: ngày công | EST chốt = (MO + 4×ML + MP)/6 × 1,10</t>
  </si>
  <si>
    <t>STT</t>
  </si>
  <si>
    <t>Giai đoạn</t>
  </si>
  <si>
    <t>Gói công việc</t>
  </si>
  <si>
    <t>Sản phẩm/đầu ra</t>
  </si>
  <si>
    <t>Tiến trình</t>
  </si>
  <si>
    <t>MO</t>
  </si>
  <si>
    <t>ML</t>
  </si>
  <si>
    <t>MP</t>
  </si>
  <si>
    <t>EST chốt</t>
  </si>
  <si>
    <t>Người phụ trách</t>
  </si>
  <si>
    <t>Chi phí NC (VND)</t>
  </si>
  <si>
    <t>1.1</t>
  </si>
  <si>
    <t>Khởi động &amp; thiết lập quản trị dự án</t>
  </si>
  <si>
    <t>Charter, Stakeholder Register, quy ước quản trị</t>
  </si>
  <si>
    <t>Từ đầu</t>
  </si>
  <si>
    <t>1.2</t>
  </si>
  <si>
    <t>Khảo sát, xác định phạm vi &amp; WBS</t>
  </si>
  <si>
    <t>Scope Statement, WBS, PERT/baseline</t>
  </si>
  <si>
    <t>Sau 1.1</t>
  </si>
  <si>
    <t>Nguyễn Hồng Dương</t>
  </si>
  <si>
    <t>1.3</t>
  </si>
  <si>
    <t>Dự toán chi phí &amp; rủi ro ban đầu</t>
  </si>
  <si>
    <t>Dự toán sơ bộ, Risk Register v1</t>
  </si>
  <si>
    <t>Phạm Đức Anh</t>
  </si>
  <si>
    <t>2.1</t>
  </si>
  <si>
    <t>Tổng hợp khảo sát &amp; mô hình nghiệp vụ</t>
  </si>
  <si>
    <t>Mô hình AS-IS/TO-BE</t>
  </si>
  <si>
    <t>Sau 1.2</t>
  </si>
  <si>
    <t>Nguyễn Trọng Hiếu</t>
  </si>
  <si>
    <t>2.2</t>
  </si>
  <si>
    <t>Phân tích use case &amp; yêu cầu hệ thống</t>
  </si>
  <si>
    <t>Actor, use case, FR/NFR, quy tắc dữ liệu</t>
  </si>
  <si>
    <t>Sau 2.1</t>
  </si>
  <si>
    <t>2.3</t>
  </si>
  <si>
    <t>Hoàn thiện SRS &amp; ma trận truy vết</t>
  </si>
  <si>
    <t>SRS, RTM, baseline yêu cầu</t>
  </si>
  <si>
    <t>Sau 2.2</t>
  </si>
  <si>
    <t>3.1</t>
  </si>
  <si>
    <t>Thiết kế kiến trúc &amp; API</t>
  </si>
  <si>
    <t>Kiến trúc hệ thống, API chính</t>
  </si>
  <si>
    <t>Sau 2.3</t>
  </si>
  <si>
    <t>3.2</t>
  </si>
  <si>
    <t>Thiết kế CSDL, trạng thái &amp; tích hợp nghiệp vụ</t>
  </si>
  <si>
    <t>ERD/CSDL, trạng thái, OTP/QR–COD/phí</t>
  </si>
  <si>
    <t>Song song 3.1</t>
  </si>
  <si>
    <t>3.3</t>
  </si>
  <si>
    <t>Thiết kế prototype &amp; chốt baseline</t>
  </si>
  <si>
    <t>Prototype, design baseline</t>
  </si>
  <si>
    <t>Sau 3.1, 3.2</t>
  </si>
  <si>
    <t>4.1</t>
  </si>
  <si>
    <t>Thiết lập nền tảng phát triển &amp; dữ liệu</t>
  </si>
  <si>
    <t>Repo, CSDL, dữ liệu mẫu, RBAC, trạm/ngăn</t>
  </si>
  <si>
    <t>Sau 3.3</t>
  </si>
  <si>
    <t>4.2</t>
  </si>
  <si>
    <t>Phát triển luồng gửi – nhận hàng</t>
  </si>
  <si>
    <t>Luồng gửi/nhận, OTP/QR, mở ngăn</t>
  </si>
  <si>
    <t>Sau 4.1</t>
  </si>
  <si>
    <t>4.3</t>
  </si>
  <si>
    <t>Phát triển thuê ngăn, COD/phí &amp; thanh toán</t>
  </si>
  <si>
    <t>Thuê ngăn, quá hạn, payment mock, đối soát</t>
  </si>
  <si>
    <t>4.4</t>
  </si>
  <si>
    <t>Thông báo, sự cố, báo cáo &amp; tích hợp</t>
  </si>
  <si>
    <t>Notification, audit log, báo cáo, integrated build</t>
  </si>
  <si>
    <t>Sau 4.2, 4.3</t>
  </si>
  <si>
    <t>5.1</t>
  </si>
  <si>
    <t>Chuẩn bị kiểm thử &amp; Unit Testing</t>
  </si>
  <si>
    <t>Test Plan, test data, Unit evidence</t>
  </si>
  <si>
    <t>Sau 4.4</t>
  </si>
  <si>
    <t>5.2</t>
  </si>
  <si>
    <t>Integration/System/NFR &amp; Acceptance Testing</t>
  </si>
  <si>
    <t>Integration/System/UAT evidence</t>
  </si>
  <si>
    <t>Sau 5.1</t>
  </si>
  <si>
    <t>5.3</t>
  </si>
  <si>
    <t>Sửa lỗi, regression &amp; báo cáo kiểm thử</t>
  </si>
  <si>
    <t>Defect log, regression, báo cáo chất lượng</t>
  </si>
  <si>
    <t>Sau 5.2</t>
  </si>
  <si>
    <t>6.1</t>
  </si>
  <si>
    <t>Đóng gói, triển khai demo &amp; smoke test</t>
  </si>
  <si>
    <t>Bản demo triển khai, smoke test</t>
  </si>
  <si>
    <t>Sau 5.3</t>
  </si>
  <si>
    <t>6.2</t>
  </si>
  <si>
    <t>Hoàn thiện hướng dẫn &amp; kịch bản trình bày</t>
  </si>
  <si>
    <t>HDSD, kịch bản demo, slide</t>
  </si>
  <si>
    <t>Song song 6.1</t>
  </si>
  <si>
    <t>6.3</t>
  </si>
  <si>
    <t>Nghiệm thu, bàn giao &amp; đóng dự án</t>
  </si>
  <si>
    <t>Biên bản nghiệm thu, báo cáo cuối, lessons learned</t>
  </si>
  <si>
    <t>Sau 6.1, 6.2</t>
  </si>
  <si>
    <t>TỔNG</t>
  </si>
  <si>
    <t>19 gói công việc; có thể thực hiện song song</t>
  </si>
  <si>
    <t>Ghi chú: ngân sách lao động cố định 250.000.000 đồng được phân bổ theo tỷ trọng ngày công của từng gói WBS. Tổng effort 190,85 ngày công là khối lượng lao động, không phải thời gian lịch của dự án.</t>
  </si>
  <si>
    <t>PHỤ LỤC DỰ TOÁN – CÔNG LAO ĐỘNG THEO GIAI ĐOẠN</t>
  </si>
  <si>
    <t>Phát triển và triển khai Hệ thống quản lý tủ đồ thông minh Smartbox tại KĐT Vinhomes Ocean Park, Gia Lâm – CNTT2026_N05</t>
  </si>
  <si>
    <t>NGÂN SÁCH NHÂN CÔNG</t>
  </si>
  <si>
    <t>Thành viên</t>
  </si>
  <si>
    <t>Vai trò</t>
  </si>
  <si>
    <t>WBS phụ trách</t>
  </si>
  <si>
    <t>Ngày công</t>
  </si>
  <si>
    <t>Thành tiền (VND)</t>
  </si>
  <si>
    <t>Chủ nhiệm / Project Manager</t>
  </si>
  <si>
    <t>—</t>
  </si>
  <si>
    <t>6.1, 6.2, 6.3</t>
  </si>
  <si>
    <t>Phân tích / Kỹ thuật / Unit Test</t>
  </si>
  <si>
    <t>2.1, 2.2</t>
  </si>
  <si>
    <t>Scope / WBS / Tiến độ / Regression</t>
  </si>
  <si>
    <t>Rủi ro / Chi phí / Hạ tầng / UAT</t>
  </si>
  <si>
    <t>TỔNG CỘNG</t>
  </si>
  <si>
    <t>THÀNH VIÊN</t>
  </si>
  <si>
    <t>TỔNG NGÀY CÔNG</t>
  </si>
  <si>
    <t>TỔNG TIỀN CÔNG</t>
  </si>
  <si>
    <t>PHỤ LỤC DỰ TOÁN – HẠ TẦNG, THIẾT BỊ THEO GIAI ĐOẠN</t>
  </si>
  <si>
    <t>WBS liên quan</t>
  </si>
  <si>
    <t>Hạng mục</t>
  </si>
  <si>
    <t>ĐVT</t>
  </si>
  <si>
    <t>SL</t>
  </si>
  <si>
    <t>Đơn giá</t>
  </si>
  <si>
    <t>Thành tiền</t>
  </si>
  <si>
    <t>Mốc hạch toán/ứng</t>
  </si>
  <si>
    <t>Cloud/VPS môi trường thiết kế kiến trúc &amp; API</t>
  </si>
  <si>
    <t>Gói</t>
  </si>
  <si>
    <t>Theo giai đoạn Design</t>
  </si>
  <si>
    <t>Dịch vụ CSDL/API phục vụ tích hợp mock</t>
  </si>
  <si>
    <t>Bộ mô phỏng IoT/ngăn tủ tại phòng lab</t>
  </si>
  <si>
    <t>Bộ</t>
  </si>
  <si>
    <t>Theo giai đoạn Development</t>
  </si>
  <si>
    <t>Thiết bị mạng, lưu trữ và sao lưu môi trường phát triển</t>
  </si>
  <si>
    <t>Thiết bị QR/điện thoại phục vụ demo luồng gửi–nhận</t>
  </si>
  <si>
    <t>Công cụ CI/CD, monitoring và license hỗ trợ tích hợp</t>
  </si>
  <si>
    <t>Môi trường/công cụ Unit &amp; Integration Test</t>
  </si>
  <si>
    <t>Theo giai đoạn Testing</t>
  </si>
  <si>
    <t>Công cụ kiểm thử bảo mật/hiệu năng</t>
  </si>
  <si>
    <t>Cloud/VPS demo, backup và cấu hình triển khai</t>
  </si>
  <si>
    <t>Theo giai đoạn Deployment</t>
  </si>
  <si>
    <t>300.000.000 đồng</t>
  </si>
  <si>
    <t>PHỤ LỤC DỰ TOÁN – CHI KHÁC &amp; DỰ PHÒNG THEO GIAI ĐOẠN</t>
  </si>
  <si>
    <t>Loại chi</t>
  </si>
  <si>
    <t>Nội dung</t>
  </si>
  <si>
    <t>1.1–1.2</t>
  </si>
  <si>
    <t>Khảo sát nghiệp vụ, di chuyển và liên lạc</t>
  </si>
  <si>
    <t>Hạch toán Scope</t>
  </si>
  <si>
    <t>Họp khởi động, quản trị tài liệu và kho dùng chung</t>
  </si>
  <si>
    <t>2.1–2.2</t>
  </si>
  <si>
    <t>Phỏng vấn/khảo sát bổ sung, chuẩn hóa dữ liệu yêu cầu</t>
  </si>
  <si>
    <t>Hạch toán Analysis</t>
  </si>
  <si>
    <t>2.2–2.3</t>
  </si>
  <si>
    <t>Hỗ trợ mô hình hóa use case, SRS và truy vết</t>
  </si>
  <si>
    <t>Hoàn thiện/in bộ tài liệu baseline yêu cầu</t>
  </si>
  <si>
    <t>Thiết kế UX/UI và prototype Smartbox</t>
  </si>
  <si>
    <t>Hạch toán Design</t>
  </si>
  <si>
    <t>3.1–3.3</t>
  </si>
  <si>
    <t>Rà soát kiến trúc, CSDL và prototype trước baseline</t>
  </si>
  <si>
    <t>4.1–4.4</t>
  </si>
  <si>
    <t>Hỗ trợ tích hợp/mock dịch vụ trong phát triển</t>
  </si>
  <si>
    <t>Hạch toán Development</t>
  </si>
  <si>
    <t>Code review, quản lý tài liệu kỹ thuật và lưu trữ</t>
  </si>
  <si>
    <t>5.1–5.2</t>
  </si>
  <si>
    <t>Kiểm thử chuyên sâu và an toàn thông tin</t>
  </si>
  <si>
    <t>Hạch toán Testing</t>
  </si>
  <si>
    <t>Chuẩn bị UAT, test data và minh chứng nghiệm thu</t>
  </si>
  <si>
    <t>6.1–6.3</t>
  </si>
  <si>
    <t>Tổ chức demo và nghiệm thu học phần</t>
  </si>
  <si>
    <t>Hạch toán Deployment</t>
  </si>
  <si>
    <t>Đào tạo, hướng dẫn sử dụng và hỗ trợ demo</t>
  </si>
  <si>
    <t>Hoàn thiện hồ sơ đóng dự án, in ấn và lưu trữ</t>
  </si>
  <si>
    <t>Dự phòng</t>
  </si>
  <si>
    <t>1.1–1.3</t>
  </si>
  <si>
    <t>Dự phòng rủi ro giai đoạn Scope</t>
  </si>
  <si>
    <t>Chỉ dùng khi rủi ro được phê duyệt</t>
  </si>
  <si>
    <t>2.1–2.3</t>
  </si>
  <si>
    <t>Dự phòng rủi ro giai đoạn Analysis</t>
  </si>
  <si>
    <t>Dự phòng rủi ro giai đoạn Design</t>
  </si>
  <si>
    <t>Dự phòng rủi ro giai đoạn Development</t>
  </si>
  <si>
    <t>5.1–5.3</t>
  </si>
  <si>
    <t>Dự phòng rủi ro giai đoạn Testing</t>
  </si>
  <si>
    <t>Dự phòng rủi ro giai đoạn Deployment</t>
  </si>
  <si>
    <t>TỔNG CHI KHÁC</t>
  </si>
  <si>
    <t>400.000.000 đồng</t>
  </si>
  <si>
    <t>TỔNG DỰ PHÒNG</t>
  </si>
  <si>
    <t>50.000.000 đồng</t>
  </si>
  <si>
    <t>450.000.000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</si>
</sst>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6"/>
      <color rgb="FFFFFFFF"/>
      <name val="Times New Roman"/>
    </font>
    <font>
      <b/>
      <sz val="16"/>
      <color rgb="FF1F1F1F"/>
      <name val="Times New Roman"/>
    </font>
    <font>
      <sz val="11"/>
      <color rgb="FF1F1F1F"/>
      <name val="Times New Roman"/>
    </font>
    <font>
      <sz val="11"/>
      <name val="Carlito"/>
    </font>
    <font>
      <b/>
      <sz val="12"/>
      <color rgb="FF1F1F1F"/>
      <name val="Times New Roman"/>
      <family val="1"/>
    </font>
    <font>
      <sz val="12"/>
      <color rgb="FF1F1F1F"/>
      <name val="Times New Roman"/>
      <family val="1"/>
    </font>
    <font>
      <sz val="12"/>
      <name val="Carlito"/>
      <charset val="163"/>
    </font>
    <font>
      <i/>
      <sz val="12"/>
      <color rgb="FF1F1F1F"/>
      <name val="Times New Roman"/>
      <family val="1"/>
    </font>
  </fonts>
  <fills count="9">
    <fill>
      <patternFill patternType="none"/>
    </fill>
    <fill>
      <patternFill patternType="gray125"/>
    </fill>
    <fill>
      <patternFill patternType="solid">
        <fgColor rgb="FF1F4E78"/>
      </patternFill>
    </fill>
    <fill>
      <patternFill patternType="solid">
        <fgColor rgb="FFF3F6F9"/>
      </patternFill>
    </fill>
    <fill>
      <patternFill patternType="solid">
        <fgColor rgb="FFE2F0D9"/>
      </patternFill>
    </fill>
    <fill>
      <patternFill patternType="solid">
        <fgColor rgb="FFFFF2CC"/>
      </patternFill>
    </fill>
    <fill>
      <patternFill patternType="solid">
        <fgColor rgb="FFE7E6E6"/>
      </patternFill>
    </fill>
    <fill>
      <patternFill patternType="solid">
        <fgColor rgb="FFD9EAF7"/>
      </patternFill>
    </fill>
    <fill>
      <patternFill patternType="solid">
        <fgColor theme="0"/>
        <bgColor indexed="64"/>
      </patternFill>
    </fill>
  </fills>
  <borders count="1">
    <border>
      <left/>
      <right/>
      <top/>
      <bottom/>
      <diagonal/>
    </border>
  </borders>
  <cellStyleXfs count="2">
    <xf numFmtId="0" fontId="0" fillId="0" borderId="0"/>
    <xf numFmtId="0" fontId="4" fillId="0" borderId="0"/>
  </cellStyleXfs>
  <cellXfs count="38">
    <xf numFmtId="0" fontId="0" fillId="0" borderId="0" xfId="0"/>
    <xf numFmtId="0" fontId="3" fillId="0" borderId="0" xfId="1" applyFont="1"/>
    <xf numFmtId="0" fontId="3" fillId="0" borderId="0" xfId="1" applyFont="1" applyAlignment="1">
      <alignment wrapText="1"/>
    </xf>
    <xf numFmtId="0" fontId="5" fillId="0" borderId="0" xfId="1" applyFont="1"/>
    <xf numFmtId="0" fontId="6" fillId="0" borderId="0" xfId="1" applyFont="1" applyAlignment="1">
      <alignment wrapText="1"/>
    </xf>
    <xf numFmtId="0" fontId="7" fillId="0" borderId="0" xfId="0" applyFont="1"/>
    <xf numFmtId="0" fontId="6" fillId="0" borderId="0" xfId="1" applyFont="1"/>
    <xf numFmtId="3" fontId="6" fillId="0" borderId="0" xfId="1" applyNumberFormat="1" applyFont="1" applyAlignment="1">
      <alignment wrapText="1"/>
    </xf>
    <xf numFmtId="0" fontId="5" fillId="4" borderId="0" xfId="1" applyFont="1" applyFill="1" applyAlignment="1">
      <alignment wrapText="1"/>
    </xf>
    <xf numFmtId="3" fontId="5" fillId="4" borderId="0" xfId="1" applyNumberFormat="1" applyFont="1" applyFill="1" applyAlignment="1">
      <alignment wrapText="1"/>
    </xf>
    <xf numFmtId="0" fontId="6" fillId="0" borderId="0" xfId="1" applyFont="1" applyAlignment="1">
      <alignment vertical="center" wrapText="1"/>
    </xf>
    <xf numFmtId="3" fontId="6" fillId="0" borderId="0" xfId="1" applyNumberFormat="1" applyFont="1" applyAlignment="1">
      <alignment vertical="center" wrapText="1"/>
    </xf>
    <xf numFmtId="0" fontId="6" fillId="0" borderId="0" xfId="1" applyFont="1" applyAlignment="1">
      <alignment horizontal="center" vertical="center" wrapText="1"/>
    </xf>
    <xf numFmtId="2" fontId="6" fillId="0" borderId="0" xfId="1" applyNumberFormat="1" applyFont="1" applyAlignment="1">
      <alignment wrapText="1"/>
    </xf>
    <xf numFmtId="2" fontId="5" fillId="4" borderId="0" xfId="1" applyNumberFormat="1" applyFont="1" applyFill="1" applyAlignment="1">
      <alignment wrapText="1"/>
    </xf>
    <xf numFmtId="0" fontId="6" fillId="0" borderId="0" xfId="1" applyFont="1" applyAlignment="1">
      <alignment horizontal="center" wrapText="1"/>
    </xf>
    <xf numFmtId="0" fontId="5" fillId="7" borderId="0" xfId="1" applyFont="1" applyFill="1" applyAlignment="1">
      <alignment horizontal="center" vertical="center" wrapText="1"/>
    </xf>
    <xf numFmtId="0" fontId="1" fillId="8" borderId="0" xfId="1" applyFont="1" applyFill="1" applyAlignment="1">
      <alignment horizontal="center" vertical="center" wrapText="1"/>
    </xf>
    <xf numFmtId="0" fontId="2" fillId="8" borderId="0" xfId="1" applyFont="1" applyFill="1" applyAlignment="1">
      <alignment horizontal="center" vertical="center" wrapText="1"/>
    </xf>
    <xf numFmtId="0" fontId="0" fillId="8" borderId="0" xfId="0" applyFill="1"/>
    <xf numFmtId="0" fontId="5" fillId="5" borderId="0" xfId="1" applyFont="1" applyFill="1" applyAlignment="1">
      <alignment wrapText="1"/>
    </xf>
    <xf numFmtId="3" fontId="5" fillId="5" borderId="0" xfId="1" applyNumberFormat="1" applyFont="1" applyFill="1" applyAlignment="1">
      <alignment wrapText="1"/>
    </xf>
    <xf numFmtId="2" fontId="6" fillId="0" borderId="0" xfId="1" applyNumberFormat="1" applyFont="1" applyAlignment="1">
      <alignment horizontal="center" wrapText="1"/>
    </xf>
    <xf numFmtId="3" fontId="6" fillId="0" borderId="0" xfId="1" applyNumberFormat="1" applyFont="1" applyAlignment="1">
      <alignment horizontal="center" wrapText="1"/>
    </xf>
    <xf numFmtId="0" fontId="1" fillId="2" borderId="0" xfId="1" applyFont="1" applyFill="1" applyAlignment="1">
      <alignment horizontal="center" vertical="center" wrapText="1"/>
    </xf>
    <xf numFmtId="0" fontId="2" fillId="2" borderId="0" xfId="1" applyFont="1" applyFill="1" applyAlignment="1">
      <alignment horizontal="center" vertical="center" wrapText="1"/>
    </xf>
    <xf numFmtId="0" fontId="5" fillId="4" borderId="0" xfId="1" applyFont="1" applyFill="1" applyAlignment="1">
      <alignment wrapText="1"/>
    </xf>
    <xf numFmtId="3" fontId="5" fillId="4" borderId="0" xfId="1" applyNumberFormat="1" applyFont="1" applyFill="1" applyAlignment="1">
      <alignment wrapText="1"/>
    </xf>
    <xf numFmtId="0" fontId="5" fillId="5" borderId="0" xfId="1" applyFont="1" applyFill="1" applyAlignment="1">
      <alignment wrapText="1"/>
    </xf>
    <xf numFmtId="3" fontId="5" fillId="5" borderId="0" xfId="1" applyNumberFormat="1" applyFont="1" applyFill="1" applyAlignment="1">
      <alignment wrapText="1"/>
    </xf>
    <xf numFmtId="0" fontId="5" fillId="6" borderId="0" xfId="1" applyFont="1" applyFill="1" applyAlignment="1">
      <alignment horizontal="center" wrapText="1"/>
    </xf>
    <xf numFmtId="0" fontId="6" fillId="0" borderId="0" xfId="1" applyFont="1" applyAlignment="1">
      <alignment wrapText="1"/>
    </xf>
    <xf numFmtId="0" fontId="8" fillId="0" borderId="0" xfId="1" applyFont="1" applyAlignment="1">
      <alignment vertical="center" wrapText="1"/>
    </xf>
    <xf numFmtId="0" fontId="5" fillId="5" borderId="0" xfId="1" applyFont="1" applyFill="1" applyAlignment="1">
      <alignment horizontal="center" wrapText="1"/>
    </xf>
    <xf numFmtId="0" fontId="8" fillId="3" borderId="0" xfId="1" applyFont="1" applyFill="1" applyAlignment="1">
      <alignment horizontal="center" wrapText="1"/>
    </xf>
    <xf numFmtId="0" fontId="8" fillId="0" borderId="0" xfId="1" applyFont="1" applyAlignment="1">
      <alignment wrapText="1"/>
    </xf>
    <xf numFmtId="3" fontId="5" fillId="0" borderId="0" xfId="1" applyNumberFormat="1" applyFont="1" applyAlignment="1">
      <alignment wrapText="1"/>
    </xf>
    <xf numFmtId="0" fontId="5" fillId="0" borderId="0" xfId="1" applyFont="1" applyAlignment="1">
      <alignment wrapText="1"/>
    </xf>
  </cellXfs>
  <cellStyles count="2">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
  <sheetViews>
    <sheetView workbookViewId="0">
      <selection activeCell="B5" sqref="B5:J5"/>
    </sheetView>
  </sheetViews>
  <sheetFormatPr defaultRowHeight="14.1"/>
  <cols>
    <col min="1" max="1" width="14" customWidth="1"/>
    <col min="2" max="2" width="25" customWidth="1"/>
    <col min="3" max="8" width="15" customWidth="1"/>
    <col min="9" max="9" width="16" customWidth="1"/>
    <col min="10" max="10" width="36" customWidth="1"/>
  </cols>
  <sheetData>
    <row r="1" spans="1:10" ht="19.7">
      <c r="A1" s="24" t="s">
        <v>0</v>
      </c>
      <c r="B1" s="25"/>
      <c r="C1" s="25"/>
      <c r="D1" s="25"/>
      <c r="E1" s="25"/>
      <c r="F1" s="25"/>
      <c r="G1" s="25"/>
      <c r="H1" s="25"/>
      <c r="I1" s="25"/>
      <c r="J1" s="25"/>
    </row>
    <row r="2" spans="1:10" s="5" customFormat="1" ht="15.4">
      <c r="A2" s="3" t="s">
        <v>1</v>
      </c>
      <c r="B2" s="31" t="s">
        <v>2</v>
      </c>
      <c r="C2" s="31"/>
      <c r="D2" s="31"/>
      <c r="E2" s="31"/>
      <c r="F2" s="31"/>
      <c r="G2" s="31"/>
      <c r="H2" s="31"/>
      <c r="I2" s="31"/>
      <c r="J2" s="31"/>
    </row>
    <row r="3" spans="1:10" s="5" customFormat="1" ht="15.4">
      <c r="A3" s="3" t="s">
        <v>3</v>
      </c>
      <c r="B3" s="31" t="s">
        <v>4</v>
      </c>
      <c r="C3" s="31"/>
      <c r="D3" s="31"/>
      <c r="E3" s="31"/>
      <c r="F3" s="31"/>
      <c r="G3" s="31"/>
      <c r="H3" s="31"/>
      <c r="I3" s="31"/>
      <c r="J3" s="31"/>
    </row>
    <row r="4" spans="1:10" s="5" customFormat="1" ht="15.4">
      <c r="A4" s="3" t="s">
        <v>5</v>
      </c>
      <c r="B4" s="31" t="s">
        <v>6</v>
      </c>
      <c r="C4" s="31"/>
      <c r="D4" s="31"/>
      <c r="E4" s="31"/>
      <c r="F4" s="31"/>
      <c r="G4" s="31"/>
      <c r="H4" s="31"/>
      <c r="I4" s="31"/>
      <c r="J4" s="31"/>
    </row>
    <row r="5" spans="1:10" s="5" customFormat="1" ht="15.4">
      <c r="A5" s="3" t="s">
        <v>7</v>
      </c>
      <c r="B5" s="31" t="s">
        <v>8</v>
      </c>
      <c r="C5" s="31"/>
      <c r="D5" s="31"/>
      <c r="E5" s="31"/>
      <c r="F5" s="31"/>
      <c r="G5" s="31"/>
      <c r="H5" s="31"/>
      <c r="I5" s="31"/>
      <c r="J5" s="31"/>
    </row>
    <row r="6" spans="1:10" s="5" customFormat="1" ht="15.4">
      <c r="A6" s="6"/>
      <c r="B6" s="6"/>
      <c r="C6" s="6"/>
      <c r="D6" s="6"/>
      <c r="E6" s="6"/>
      <c r="F6" s="6"/>
      <c r="G6" s="6"/>
      <c r="H6" s="6"/>
      <c r="I6" s="6"/>
      <c r="J6" s="6"/>
    </row>
    <row r="7" spans="1:10" s="5" customFormat="1" ht="15">
      <c r="A7" s="16" t="s">
        <v>9</v>
      </c>
      <c r="B7" s="16" t="s">
        <v>10</v>
      </c>
      <c r="C7" s="16" t="s">
        <v>11</v>
      </c>
      <c r="D7" s="16" t="s">
        <v>12</v>
      </c>
      <c r="E7" s="16" t="s">
        <v>13</v>
      </c>
      <c r="F7" s="16" t="s">
        <v>14</v>
      </c>
      <c r="G7" s="16" t="s">
        <v>15</v>
      </c>
      <c r="H7" s="16" t="s">
        <v>16</v>
      </c>
      <c r="I7" s="16" t="s">
        <v>17</v>
      </c>
      <c r="J7" s="16" t="s">
        <v>18</v>
      </c>
    </row>
    <row r="8" spans="1:10" s="5" customFormat="1" ht="30.95">
      <c r="A8" s="12">
        <v>1</v>
      </c>
      <c r="B8" s="10" t="s">
        <v>19</v>
      </c>
      <c r="C8" s="11">
        <f>SUMIF('03_NhanCong'!$D$6:$D$29,C$7,'03_NhanCong'!$G$6:$G$29)</f>
        <v>33141210.374639776</v>
      </c>
      <c r="D8" s="11">
        <f>SUMIF('03_NhanCong'!$D$6:$D$29,D$7,'03_NhanCong'!$G$6:$G$29)</f>
        <v>39385206.5321806</v>
      </c>
      <c r="E8" s="11">
        <f>SUMIF('03_NhanCong'!$D$6:$D$29,E$7,'03_NhanCong'!$G$6:$G$29)</f>
        <v>40105667.627281457</v>
      </c>
      <c r="F8" s="11">
        <f>SUMIF('03_NhanCong'!$D$6:$D$29,F$7,'03_NhanCong'!$G$6:$G$29)</f>
        <v>75168107.588856891</v>
      </c>
      <c r="G8" s="11">
        <f>SUMIF('03_NhanCong'!$D$6:$D$29,G$7,'03_NhanCong'!$G$6:$G$29)</f>
        <v>40105667.627281465</v>
      </c>
      <c r="H8" s="11">
        <f>SUMIF('03_NhanCong'!$D$6:$D$29,H$7,'03_NhanCong'!$G$6:$G$29)</f>
        <v>22094140.249759849</v>
      </c>
      <c r="I8" s="11">
        <f>SUM(C8:H8)</f>
        <v>250000000.00000003</v>
      </c>
      <c r="J8" s="4" t="s">
        <v>20</v>
      </c>
    </row>
    <row r="9" spans="1:10" s="5" customFormat="1" ht="30.95">
      <c r="A9" s="12">
        <v>2</v>
      </c>
      <c r="B9" s="10" t="s">
        <v>21</v>
      </c>
      <c r="C9" s="11">
        <f>SUMIF('04_ThietBi_HaTang'!$B$4:$B$12,C$7,'04_ThietBi_HaTang'!$H$4:$H$12)</f>
        <v>0</v>
      </c>
      <c r="D9" s="11">
        <f>SUMIF('04_ThietBi_HaTang'!$B$4:$B$12,D$7,'04_ThietBi_HaTang'!$H$4:$H$12)</f>
        <v>0</v>
      </c>
      <c r="E9" s="11">
        <f>SUMIF('04_ThietBi_HaTang'!$B$4:$B$12,E$7,'04_ThietBi_HaTang'!$H$4:$H$12)</f>
        <v>60000000</v>
      </c>
      <c r="F9" s="11">
        <f>SUMIF('04_ThietBi_HaTang'!$B$4:$B$12,F$7,'04_ThietBi_HaTang'!$H$4:$H$12)</f>
        <v>170000000</v>
      </c>
      <c r="G9" s="11">
        <f>SUMIF('04_ThietBi_HaTang'!$B$4:$B$12,G$7,'04_ThietBi_HaTang'!$H$4:$H$12)</f>
        <v>40000000</v>
      </c>
      <c r="H9" s="11">
        <f>SUMIF('04_ThietBi_HaTang'!$B$4:$B$12,H$7,'04_ThietBi_HaTang'!$H$4:$H$12)</f>
        <v>30000000</v>
      </c>
      <c r="I9" s="11">
        <f>SUM(C9:H9)</f>
        <v>300000000</v>
      </c>
      <c r="J9" s="4" t="s">
        <v>22</v>
      </c>
    </row>
    <row r="10" spans="1:10" s="5" customFormat="1" ht="30.95">
      <c r="A10" s="12">
        <v>3</v>
      </c>
      <c r="B10" s="10" t="s">
        <v>23</v>
      </c>
      <c r="C10" s="11">
        <f>SUMIFS('05_ChiKhac'!$I$4:$I$23,'05_ChiKhac'!$B$4:$B$23,"Chi khác",'05_ChiKhac'!$C$4:$C$23,C$7)</f>
        <v>45000000</v>
      </c>
      <c r="D10" s="11">
        <f>SUMIFS('05_ChiKhac'!$I$4:$I$23,'05_ChiKhac'!$B$4:$B$23,"Chi khác",'05_ChiKhac'!$C$4:$C$23,D$7)</f>
        <v>55000000</v>
      </c>
      <c r="E10" s="11">
        <f>SUMIFS('05_ChiKhac'!$I$4:$I$23,'05_ChiKhac'!$B$4:$B$23,"Chi khác",'05_ChiKhac'!$C$4:$C$23,E$7)</f>
        <v>65000000</v>
      </c>
      <c r="F10" s="11">
        <f>SUMIFS('05_ChiKhac'!$I$4:$I$23,'05_ChiKhac'!$B$4:$B$23,"Chi khác",'05_ChiKhac'!$C$4:$C$23,F$7)</f>
        <v>70000000</v>
      </c>
      <c r="G10" s="11">
        <f>SUMIFS('05_ChiKhac'!$I$4:$I$23,'05_ChiKhac'!$B$4:$B$23,"Chi khác",'05_ChiKhac'!$C$4:$C$23,G$7)</f>
        <v>100000000</v>
      </c>
      <c r="H10" s="11">
        <f>SUMIFS('05_ChiKhac'!$I$4:$I$23,'05_ChiKhac'!$B$4:$B$23,"Chi khác",'05_ChiKhac'!$C$4:$C$23,H$7)</f>
        <v>65000000</v>
      </c>
      <c r="I10" s="11">
        <f>SUM(C10:H10)</f>
        <v>400000000</v>
      </c>
      <c r="J10" s="4" t="s">
        <v>24</v>
      </c>
    </row>
    <row r="11" spans="1:10" s="5" customFormat="1" ht="30.95">
      <c r="A11" s="12">
        <v>4</v>
      </c>
      <c r="B11" s="10" t="s">
        <v>25</v>
      </c>
      <c r="C11" s="11">
        <f>SUMIFS('05_ChiKhac'!$I$4:$I$23,'05_ChiKhac'!$B$4:$B$23,"Dự phòng",'05_ChiKhac'!$C$4:$C$23,C$7)</f>
        <v>5000000</v>
      </c>
      <c r="D11" s="11">
        <f>SUMIFS('05_ChiKhac'!$I$4:$I$23,'05_ChiKhac'!$B$4:$B$23,"Dự phòng",'05_ChiKhac'!$C$4:$C$23,D$7)</f>
        <v>5000000</v>
      </c>
      <c r="E11" s="11">
        <f>SUMIFS('05_ChiKhac'!$I$4:$I$23,'05_ChiKhac'!$B$4:$B$23,"Dự phòng",'05_ChiKhac'!$C$4:$C$23,E$7)</f>
        <v>7000000</v>
      </c>
      <c r="F11" s="11">
        <f>SUMIFS('05_ChiKhac'!$I$4:$I$23,'05_ChiKhac'!$B$4:$B$23,"Dự phòng",'05_ChiKhac'!$C$4:$C$23,F$7)</f>
        <v>15000000</v>
      </c>
      <c r="G11" s="11">
        <f>SUMIFS('05_ChiKhac'!$I$4:$I$23,'05_ChiKhac'!$B$4:$B$23,"Dự phòng",'05_ChiKhac'!$C$4:$C$23,G$7)</f>
        <v>10000000</v>
      </c>
      <c r="H11" s="11">
        <f>SUMIFS('05_ChiKhac'!$I$4:$I$23,'05_ChiKhac'!$B$4:$B$23,"Dự phòng",'05_ChiKhac'!$C$4:$C$23,H$7)</f>
        <v>8000000</v>
      </c>
      <c r="I11" s="11">
        <f>SUM(C11:H11)</f>
        <v>50000000</v>
      </c>
      <c r="J11" s="4" t="s">
        <v>26</v>
      </c>
    </row>
    <row r="12" spans="1:10" s="5" customFormat="1" ht="30">
      <c r="A12" s="8"/>
      <c r="B12" s="8" t="s">
        <v>27</v>
      </c>
      <c r="C12" s="9">
        <f t="shared" ref="C12:I12" si="0">SUM(C8:C11)</f>
        <v>83141210.374639779</v>
      </c>
      <c r="D12" s="9">
        <f t="shared" si="0"/>
        <v>99385206.532180607</v>
      </c>
      <c r="E12" s="9">
        <f t="shared" si="0"/>
        <v>172105667.62728146</v>
      </c>
      <c r="F12" s="9">
        <f t="shared" si="0"/>
        <v>330168107.58885688</v>
      </c>
      <c r="G12" s="9">
        <f t="shared" si="0"/>
        <v>190105667.62728146</v>
      </c>
      <c r="H12" s="9">
        <f t="shared" si="0"/>
        <v>125094140.24975985</v>
      </c>
      <c r="I12" s="9">
        <f t="shared" si="0"/>
        <v>1000000000</v>
      </c>
      <c r="J12" s="8" t="s">
        <v>28</v>
      </c>
    </row>
    <row r="13" spans="1:10" s="5" customFormat="1" ht="15.4">
      <c r="A13" s="4"/>
      <c r="B13" s="4"/>
      <c r="C13" s="4"/>
      <c r="D13" s="4"/>
      <c r="E13" s="4"/>
      <c r="F13" s="4"/>
      <c r="G13" s="4"/>
      <c r="H13" s="4"/>
      <c r="I13" s="4"/>
      <c r="J13" s="4"/>
    </row>
    <row r="14" spans="1:10" s="5" customFormat="1" ht="15.4">
      <c r="A14" s="30" t="s">
        <v>29</v>
      </c>
      <c r="B14" s="31"/>
      <c r="C14" s="31"/>
      <c r="D14" s="31"/>
      <c r="E14" s="31"/>
      <c r="F14" s="31"/>
      <c r="G14" s="31"/>
      <c r="H14" s="31"/>
      <c r="I14" s="31"/>
      <c r="J14" s="31"/>
    </row>
    <row r="15" spans="1:10" s="5" customFormat="1" ht="15">
      <c r="A15" s="32" t="s">
        <v>30</v>
      </c>
      <c r="B15" s="31"/>
      <c r="C15" s="31"/>
      <c r="D15" s="31"/>
      <c r="E15" s="31"/>
      <c r="F15" s="31"/>
      <c r="G15" s="31"/>
      <c r="H15" s="31"/>
      <c r="I15" s="31"/>
      <c r="J15" s="31"/>
    </row>
    <row r="16" spans="1:10" s="5" customFormat="1" ht="15">
      <c r="A16" s="31"/>
      <c r="B16" s="31"/>
      <c r="C16" s="31"/>
      <c r="D16" s="31"/>
      <c r="E16" s="31"/>
      <c r="F16" s="31"/>
      <c r="G16" s="31"/>
      <c r="H16" s="31"/>
      <c r="I16" s="31"/>
      <c r="J16" s="31"/>
    </row>
    <row r="17" spans="1:10" s="5" customFormat="1" ht="15.4">
      <c r="A17" s="4"/>
      <c r="B17" s="4"/>
      <c r="C17" s="4"/>
      <c r="D17" s="4"/>
      <c r="E17" s="4"/>
      <c r="F17" s="4"/>
      <c r="G17" s="4"/>
      <c r="H17" s="4"/>
      <c r="I17" s="4"/>
      <c r="J17" s="4"/>
    </row>
    <row r="18" spans="1:10" s="5" customFormat="1" ht="15.4">
      <c r="A18" s="33" t="s">
        <v>31</v>
      </c>
      <c r="B18" s="31"/>
      <c r="C18" s="31"/>
      <c r="D18" s="31"/>
      <c r="E18" s="31"/>
      <c r="F18" s="31"/>
      <c r="G18" s="31"/>
      <c r="H18" s="31"/>
      <c r="I18" s="31"/>
      <c r="J18" s="31"/>
    </row>
  </sheetData>
  <mergeCells count="8">
    <mergeCell ref="A14:J14"/>
    <mergeCell ref="A15:J16"/>
    <mergeCell ref="A18:J18"/>
    <mergeCell ref="A1:J1"/>
    <mergeCell ref="B2:J2"/>
    <mergeCell ref="B3:J3"/>
    <mergeCell ref="B4:J4"/>
    <mergeCell ref="B5:J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opLeftCell="B1" zoomScale="85" zoomScaleNormal="85" workbookViewId="0">
      <selection activeCell="D27" sqref="D27"/>
    </sheetView>
  </sheetViews>
  <sheetFormatPr defaultRowHeight="14.1"/>
  <cols>
    <col min="1" max="1" width="7" customWidth="1"/>
    <col min="2" max="2" width="17" customWidth="1"/>
    <col min="3" max="3" width="30" customWidth="1"/>
    <col min="4" max="4" width="29" customWidth="1"/>
    <col min="5" max="5" width="16" customWidth="1"/>
    <col min="6" max="8" width="7" customWidth="1"/>
    <col min="9" max="9" width="11" customWidth="1"/>
    <col min="10" max="10" width="22" customWidth="1"/>
    <col min="11" max="11" width="17" customWidth="1"/>
  </cols>
  <sheetData>
    <row r="1" spans="1:11" ht="19.7">
      <c r="A1" s="24" t="s">
        <v>32</v>
      </c>
      <c r="B1" s="25"/>
      <c r="C1" s="25"/>
      <c r="D1" s="25"/>
      <c r="E1" s="25"/>
      <c r="F1" s="25"/>
      <c r="G1" s="25"/>
      <c r="H1" s="25"/>
      <c r="I1" s="25"/>
      <c r="J1" s="25"/>
      <c r="K1" s="25"/>
    </row>
    <row r="2" spans="1:11" s="5" customFormat="1" ht="15.4">
      <c r="A2" s="34" t="s">
        <v>33</v>
      </c>
      <c r="B2" s="34"/>
      <c r="C2" s="34"/>
      <c r="D2" s="34"/>
      <c r="E2" s="34"/>
      <c r="F2" s="34"/>
      <c r="G2" s="34"/>
      <c r="H2" s="34"/>
      <c r="I2" s="34"/>
      <c r="J2" s="34"/>
      <c r="K2" s="34"/>
    </row>
    <row r="3" spans="1:11" s="5" customFormat="1" ht="15.4">
      <c r="A3" s="6"/>
      <c r="B3" s="6"/>
      <c r="C3" s="6"/>
      <c r="D3" s="6"/>
      <c r="E3" s="6"/>
      <c r="F3" s="6"/>
      <c r="G3" s="6"/>
      <c r="H3" s="6"/>
      <c r="I3" s="6"/>
      <c r="J3" s="6"/>
      <c r="K3" s="6"/>
    </row>
    <row r="4" spans="1:11" s="5" customFormat="1" ht="15">
      <c r="A4" s="16" t="s">
        <v>34</v>
      </c>
      <c r="B4" s="16" t="s">
        <v>35</v>
      </c>
      <c r="C4" s="16" t="s">
        <v>36</v>
      </c>
      <c r="D4" s="16" t="s">
        <v>37</v>
      </c>
      <c r="E4" s="16" t="s">
        <v>38</v>
      </c>
      <c r="F4" s="16" t="s">
        <v>39</v>
      </c>
      <c r="G4" s="16" t="s">
        <v>40</v>
      </c>
      <c r="H4" s="16" t="s">
        <v>41</v>
      </c>
      <c r="I4" s="16" t="s">
        <v>42</v>
      </c>
      <c r="J4" s="16" t="s">
        <v>43</v>
      </c>
      <c r="K4" s="16" t="s">
        <v>44</v>
      </c>
    </row>
    <row r="5" spans="1:11" s="5" customFormat="1" ht="30.95">
      <c r="A5" s="4" t="s">
        <v>45</v>
      </c>
      <c r="B5" s="4" t="s">
        <v>11</v>
      </c>
      <c r="C5" s="4" t="s">
        <v>46</v>
      </c>
      <c r="D5" s="4" t="s">
        <v>47</v>
      </c>
      <c r="E5" s="4" t="s">
        <v>48</v>
      </c>
      <c r="F5" s="4">
        <v>4</v>
      </c>
      <c r="G5" s="4">
        <v>7</v>
      </c>
      <c r="H5" s="4">
        <v>11</v>
      </c>
      <c r="I5" s="13">
        <f t="shared" ref="I5:I23" si="0">((F5+4*G5+H5)/6)*1.1</f>
        <v>7.8833333333333346</v>
      </c>
      <c r="J5" s="4" t="s">
        <v>6</v>
      </c>
      <c r="K5" s="7">
        <f t="shared" ref="K5:K23" si="1">250000000*I5/190.85</f>
        <v>10326609.029779062</v>
      </c>
    </row>
    <row r="6" spans="1:11" s="5" customFormat="1" ht="30.95">
      <c r="A6" s="4" t="s">
        <v>49</v>
      </c>
      <c r="B6" s="4" t="s">
        <v>11</v>
      </c>
      <c r="C6" s="4" t="s">
        <v>50</v>
      </c>
      <c r="D6" s="4" t="s">
        <v>51</v>
      </c>
      <c r="E6" s="4" t="s">
        <v>52</v>
      </c>
      <c r="F6" s="4">
        <v>7</v>
      </c>
      <c r="G6" s="4">
        <v>11</v>
      </c>
      <c r="H6" s="4">
        <v>18</v>
      </c>
      <c r="I6" s="13">
        <f t="shared" si="0"/>
        <v>12.65</v>
      </c>
      <c r="J6" s="4" t="s">
        <v>53</v>
      </c>
      <c r="K6" s="7">
        <f t="shared" si="1"/>
        <v>16570605.187319886</v>
      </c>
    </row>
    <row r="7" spans="1:11" s="5" customFormat="1" ht="15.4">
      <c r="A7" s="4" t="s">
        <v>54</v>
      </c>
      <c r="B7" s="4" t="s">
        <v>11</v>
      </c>
      <c r="C7" s="4" t="s">
        <v>55</v>
      </c>
      <c r="D7" s="4" t="s">
        <v>56</v>
      </c>
      <c r="E7" s="4" t="s">
        <v>52</v>
      </c>
      <c r="F7" s="4">
        <v>2</v>
      </c>
      <c r="G7" s="4">
        <v>4</v>
      </c>
      <c r="H7" s="4">
        <v>8</v>
      </c>
      <c r="I7" s="13">
        <f t="shared" si="0"/>
        <v>4.7666666666666666</v>
      </c>
      <c r="J7" s="4" t="s">
        <v>57</v>
      </c>
      <c r="K7" s="7">
        <f t="shared" si="1"/>
        <v>6243996.1575408271</v>
      </c>
    </row>
    <row r="8" spans="1:11" s="5" customFormat="1" ht="30.95">
      <c r="A8" s="4" t="s">
        <v>58</v>
      </c>
      <c r="B8" s="4" t="s">
        <v>12</v>
      </c>
      <c r="C8" s="4" t="s">
        <v>59</v>
      </c>
      <c r="D8" s="4" t="s">
        <v>60</v>
      </c>
      <c r="E8" s="4" t="s">
        <v>61</v>
      </c>
      <c r="F8" s="4">
        <v>4</v>
      </c>
      <c r="G8" s="4">
        <v>7</v>
      </c>
      <c r="H8" s="4">
        <v>10</v>
      </c>
      <c r="I8" s="13">
        <f t="shared" si="0"/>
        <v>7.7000000000000011</v>
      </c>
      <c r="J8" s="4" t="s">
        <v>62</v>
      </c>
      <c r="K8" s="7">
        <f t="shared" si="1"/>
        <v>10086455.331412105</v>
      </c>
    </row>
    <row r="9" spans="1:11" s="5" customFormat="1" ht="30.95">
      <c r="A9" s="4" t="s">
        <v>63</v>
      </c>
      <c r="B9" s="4" t="s">
        <v>12</v>
      </c>
      <c r="C9" s="4" t="s">
        <v>64</v>
      </c>
      <c r="D9" s="4" t="s">
        <v>65</v>
      </c>
      <c r="E9" s="4" t="s">
        <v>66</v>
      </c>
      <c r="F9" s="4">
        <v>10</v>
      </c>
      <c r="G9" s="4">
        <v>16</v>
      </c>
      <c r="H9" s="4">
        <v>23</v>
      </c>
      <c r="I9" s="13">
        <f t="shared" si="0"/>
        <v>17.783333333333335</v>
      </c>
      <c r="J9" s="4" t="s">
        <v>62</v>
      </c>
      <c r="K9" s="7">
        <f t="shared" si="1"/>
        <v>23294908.741594624</v>
      </c>
    </row>
    <row r="10" spans="1:11" s="5" customFormat="1" ht="15.4">
      <c r="A10" s="4" t="s">
        <v>67</v>
      </c>
      <c r="B10" s="4" t="s">
        <v>12</v>
      </c>
      <c r="C10" s="4" t="s">
        <v>68</v>
      </c>
      <c r="D10" s="4" t="s">
        <v>69</v>
      </c>
      <c r="E10" s="4" t="s">
        <v>70</v>
      </c>
      <c r="F10" s="4">
        <v>3</v>
      </c>
      <c r="G10" s="4">
        <v>4</v>
      </c>
      <c r="H10" s="4">
        <v>6</v>
      </c>
      <c r="I10" s="13">
        <f t="shared" si="0"/>
        <v>4.5833333333333339</v>
      </c>
      <c r="J10" s="4" t="s">
        <v>6</v>
      </c>
      <c r="K10" s="7">
        <f t="shared" si="1"/>
        <v>6003842.4591738721</v>
      </c>
    </row>
    <row r="11" spans="1:11" s="5" customFormat="1" ht="15.4">
      <c r="A11" s="4" t="s">
        <v>71</v>
      </c>
      <c r="B11" s="4" t="s">
        <v>13</v>
      </c>
      <c r="C11" s="4" t="s">
        <v>72</v>
      </c>
      <c r="D11" s="4" t="s">
        <v>73</v>
      </c>
      <c r="E11" s="4" t="s">
        <v>74</v>
      </c>
      <c r="F11" s="4">
        <v>4</v>
      </c>
      <c r="G11" s="4">
        <v>6</v>
      </c>
      <c r="H11" s="4">
        <v>10</v>
      </c>
      <c r="I11" s="13">
        <f t="shared" si="0"/>
        <v>6.9666666666666668</v>
      </c>
      <c r="J11" s="4" t="s">
        <v>62</v>
      </c>
      <c r="K11" s="7">
        <f t="shared" si="1"/>
        <v>9125840.5379442852</v>
      </c>
    </row>
    <row r="12" spans="1:11" s="5" customFormat="1" ht="30.95">
      <c r="A12" s="4" t="s">
        <v>75</v>
      </c>
      <c r="B12" s="4" t="s">
        <v>13</v>
      </c>
      <c r="C12" s="4" t="s">
        <v>76</v>
      </c>
      <c r="D12" s="4" t="s">
        <v>77</v>
      </c>
      <c r="E12" s="4" t="s">
        <v>78</v>
      </c>
      <c r="F12" s="4">
        <v>6</v>
      </c>
      <c r="G12" s="4">
        <v>11</v>
      </c>
      <c r="H12" s="4">
        <v>19</v>
      </c>
      <c r="I12" s="13">
        <f t="shared" si="0"/>
        <v>12.65</v>
      </c>
      <c r="J12" s="4" t="s">
        <v>57</v>
      </c>
      <c r="K12" s="7">
        <f t="shared" si="1"/>
        <v>16570605.187319886</v>
      </c>
    </row>
    <row r="13" spans="1:11" s="5" customFormat="1" ht="15.4">
      <c r="A13" s="4" t="s">
        <v>79</v>
      </c>
      <c r="B13" s="4" t="s">
        <v>13</v>
      </c>
      <c r="C13" s="4" t="s">
        <v>80</v>
      </c>
      <c r="D13" s="4" t="s">
        <v>81</v>
      </c>
      <c r="E13" s="4" t="s">
        <v>82</v>
      </c>
      <c r="F13" s="4">
        <v>5</v>
      </c>
      <c r="G13" s="4">
        <v>10</v>
      </c>
      <c r="H13" s="4">
        <v>15</v>
      </c>
      <c r="I13" s="13">
        <f t="shared" si="0"/>
        <v>11</v>
      </c>
      <c r="J13" s="4" t="s">
        <v>53</v>
      </c>
      <c r="K13" s="7">
        <f t="shared" si="1"/>
        <v>14409221.902017292</v>
      </c>
    </row>
    <row r="14" spans="1:11" s="5" customFormat="1" ht="30.95">
      <c r="A14" s="4" t="s">
        <v>83</v>
      </c>
      <c r="B14" s="4" t="s">
        <v>14</v>
      </c>
      <c r="C14" s="4" t="s">
        <v>84</v>
      </c>
      <c r="D14" s="4" t="s">
        <v>85</v>
      </c>
      <c r="E14" s="4" t="s">
        <v>86</v>
      </c>
      <c r="F14" s="4">
        <v>7</v>
      </c>
      <c r="G14" s="4">
        <v>13</v>
      </c>
      <c r="H14" s="4">
        <v>20</v>
      </c>
      <c r="I14" s="13">
        <f t="shared" si="0"/>
        <v>14.483333333333334</v>
      </c>
      <c r="J14" s="4" t="s">
        <v>57</v>
      </c>
      <c r="K14" s="7">
        <f t="shared" si="1"/>
        <v>18972142.170989435</v>
      </c>
    </row>
    <row r="15" spans="1:11" s="5" customFormat="1" ht="30.95">
      <c r="A15" s="4" t="s">
        <v>87</v>
      </c>
      <c r="B15" s="4" t="s">
        <v>14</v>
      </c>
      <c r="C15" s="4" t="s">
        <v>88</v>
      </c>
      <c r="D15" s="4" t="s">
        <v>89</v>
      </c>
      <c r="E15" s="4" t="s">
        <v>90</v>
      </c>
      <c r="F15" s="4">
        <v>6</v>
      </c>
      <c r="G15" s="4">
        <v>10</v>
      </c>
      <c r="H15" s="4">
        <v>16</v>
      </c>
      <c r="I15" s="13">
        <f t="shared" si="0"/>
        <v>11.366666666666669</v>
      </c>
      <c r="J15" s="4" t="s">
        <v>62</v>
      </c>
      <c r="K15" s="7">
        <f t="shared" si="1"/>
        <v>14889529.298751205</v>
      </c>
    </row>
    <row r="16" spans="1:11" s="5" customFormat="1" ht="30.95">
      <c r="A16" s="4" t="s">
        <v>91</v>
      </c>
      <c r="B16" s="4" t="s">
        <v>14</v>
      </c>
      <c r="C16" s="4" t="s">
        <v>92</v>
      </c>
      <c r="D16" s="4" t="s">
        <v>93</v>
      </c>
      <c r="E16" s="4" t="s">
        <v>90</v>
      </c>
      <c r="F16" s="4">
        <v>6</v>
      </c>
      <c r="G16" s="4">
        <v>12</v>
      </c>
      <c r="H16" s="4">
        <v>20</v>
      </c>
      <c r="I16" s="13">
        <f t="shared" si="0"/>
        <v>13.566666666666668</v>
      </c>
      <c r="J16" s="4" t="s">
        <v>53</v>
      </c>
      <c r="K16" s="7">
        <f t="shared" si="1"/>
        <v>17771373.679154661</v>
      </c>
    </row>
    <row r="17" spans="1:11" s="5" customFormat="1" ht="30.95">
      <c r="A17" s="4" t="s">
        <v>94</v>
      </c>
      <c r="B17" s="4" t="s">
        <v>14</v>
      </c>
      <c r="C17" s="4" t="s">
        <v>95</v>
      </c>
      <c r="D17" s="4" t="s">
        <v>96</v>
      </c>
      <c r="E17" s="4" t="s">
        <v>97</v>
      </c>
      <c r="F17" s="4">
        <v>9</v>
      </c>
      <c r="G17" s="4">
        <v>16</v>
      </c>
      <c r="H17" s="4">
        <v>25</v>
      </c>
      <c r="I17" s="13">
        <f t="shared" si="0"/>
        <v>17.966666666666669</v>
      </c>
      <c r="J17" s="4" t="s">
        <v>6</v>
      </c>
      <c r="K17" s="7">
        <f t="shared" si="1"/>
        <v>23535062.439961579</v>
      </c>
    </row>
    <row r="18" spans="1:11" s="5" customFormat="1" ht="15.4">
      <c r="A18" s="4" t="s">
        <v>98</v>
      </c>
      <c r="B18" s="4" t="s">
        <v>15</v>
      </c>
      <c r="C18" s="4" t="s">
        <v>99</v>
      </c>
      <c r="D18" s="4" t="s">
        <v>100</v>
      </c>
      <c r="E18" s="4" t="s">
        <v>101</v>
      </c>
      <c r="F18" s="4">
        <v>3</v>
      </c>
      <c r="G18" s="4">
        <v>6</v>
      </c>
      <c r="H18" s="4">
        <v>9</v>
      </c>
      <c r="I18" s="13">
        <f t="shared" si="0"/>
        <v>6.6000000000000005</v>
      </c>
      <c r="J18" s="4" t="s">
        <v>62</v>
      </c>
      <c r="K18" s="7">
        <f t="shared" si="1"/>
        <v>8645533.1412103754</v>
      </c>
    </row>
    <row r="19" spans="1:11" s="5" customFormat="1" ht="30.95">
      <c r="A19" s="4" t="s">
        <v>102</v>
      </c>
      <c r="B19" s="4" t="s">
        <v>15</v>
      </c>
      <c r="C19" s="4" t="s">
        <v>103</v>
      </c>
      <c r="D19" s="4" t="s">
        <v>104</v>
      </c>
      <c r="E19" s="4" t="s">
        <v>105</v>
      </c>
      <c r="F19" s="4">
        <v>8</v>
      </c>
      <c r="G19" s="4">
        <v>14</v>
      </c>
      <c r="H19" s="4">
        <v>24</v>
      </c>
      <c r="I19" s="13">
        <f t="shared" si="0"/>
        <v>16.133333333333333</v>
      </c>
      <c r="J19" s="4" t="s">
        <v>57</v>
      </c>
      <c r="K19" s="7">
        <f t="shared" si="1"/>
        <v>21133525.456292026</v>
      </c>
    </row>
    <row r="20" spans="1:11" s="5" customFormat="1" ht="30.95">
      <c r="A20" s="4" t="s">
        <v>106</v>
      </c>
      <c r="B20" s="4" t="s">
        <v>15</v>
      </c>
      <c r="C20" s="4" t="s">
        <v>107</v>
      </c>
      <c r="D20" s="4" t="s">
        <v>108</v>
      </c>
      <c r="E20" s="4" t="s">
        <v>109</v>
      </c>
      <c r="F20" s="4">
        <v>4</v>
      </c>
      <c r="G20" s="4">
        <v>7</v>
      </c>
      <c r="H20" s="4">
        <v>11</v>
      </c>
      <c r="I20" s="13">
        <f t="shared" si="0"/>
        <v>7.8833333333333346</v>
      </c>
      <c r="J20" s="4" t="s">
        <v>53</v>
      </c>
      <c r="K20" s="7">
        <f t="shared" si="1"/>
        <v>10326609.029779062</v>
      </c>
    </row>
    <row r="21" spans="1:11" s="5" customFormat="1" ht="30.95">
      <c r="A21" s="4" t="s">
        <v>110</v>
      </c>
      <c r="B21" s="4" t="s">
        <v>16</v>
      </c>
      <c r="C21" s="4" t="s">
        <v>111</v>
      </c>
      <c r="D21" s="4" t="s">
        <v>112</v>
      </c>
      <c r="E21" s="4" t="s">
        <v>113</v>
      </c>
      <c r="F21" s="4">
        <v>3</v>
      </c>
      <c r="G21" s="4">
        <v>6</v>
      </c>
      <c r="H21" s="4">
        <v>11</v>
      </c>
      <c r="I21" s="13">
        <f t="shared" si="0"/>
        <v>6.9666666666666668</v>
      </c>
      <c r="J21" s="4" t="s">
        <v>6</v>
      </c>
      <c r="K21" s="7">
        <f t="shared" si="1"/>
        <v>9125840.5379442852</v>
      </c>
    </row>
    <row r="22" spans="1:11" s="5" customFormat="1" ht="30.95">
      <c r="A22" s="4" t="s">
        <v>114</v>
      </c>
      <c r="B22" s="4" t="s">
        <v>16</v>
      </c>
      <c r="C22" s="4" t="s">
        <v>115</v>
      </c>
      <c r="D22" s="4" t="s">
        <v>116</v>
      </c>
      <c r="E22" s="4" t="s">
        <v>117</v>
      </c>
      <c r="F22" s="4">
        <v>3</v>
      </c>
      <c r="G22" s="4">
        <v>5</v>
      </c>
      <c r="H22" s="4">
        <v>7</v>
      </c>
      <c r="I22" s="13">
        <f t="shared" si="0"/>
        <v>5.5</v>
      </c>
      <c r="J22" s="4" t="s">
        <v>6</v>
      </c>
      <c r="K22" s="7">
        <f t="shared" si="1"/>
        <v>7204610.9510086458</v>
      </c>
    </row>
    <row r="23" spans="1:11" s="5" customFormat="1" ht="30.95">
      <c r="A23" s="4" t="s">
        <v>118</v>
      </c>
      <c r="B23" s="4" t="s">
        <v>16</v>
      </c>
      <c r="C23" s="4" t="s">
        <v>119</v>
      </c>
      <c r="D23" s="4" t="s">
        <v>120</v>
      </c>
      <c r="E23" s="4" t="s">
        <v>121</v>
      </c>
      <c r="F23" s="4">
        <v>2</v>
      </c>
      <c r="G23" s="4">
        <v>4</v>
      </c>
      <c r="H23" s="4">
        <v>6</v>
      </c>
      <c r="I23" s="13">
        <f t="shared" si="0"/>
        <v>4.4000000000000004</v>
      </c>
      <c r="J23" s="4" t="s">
        <v>6</v>
      </c>
      <c r="K23" s="7">
        <f t="shared" si="1"/>
        <v>5763688.7608069163</v>
      </c>
    </row>
    <row r="24" spans="1:11" s="5" customFormat="1" ht="15">
      <c r="A24" s="8" t="s">
        <v>122</v>
      </c>
      <c r="B24" s="8"/>
      <c r="C24" s="26" t="s">
        <v>123</v>
      </c>
      <c r="D24" s="26"/>
      <c r="E24" s="26"/>
      <c r="F24" s="26"/>
      <c r="G24" s="26"/>
      <c r="H24" s="26"/>
      <c r="I24" s="14">
        <f>SUM(I5:I23)</f>
        <v>190.85</v>
      </c>
      <c r="J24" s="8"/>
      <c r="K24" s="9">
        <f>SUM(K5:K23)</f>
        <v>250000000.00000006</v>
      </c>
    </row>
    <row r="25" spans="1:11" s="5" customFormat="1" ht="15.4">
      <c r="A25" s="4"/>
      <c r="B25" s="4"/>
      <c r="C25" s="4"/>
      <c r="D25" s="4"/>
      <c r="E25" s="4"/>
      <c r="F25" s="4"/>
      <c r="G25" s="4"/>
      <c r="H25" s="4"/>
      <c r="I25" s="4"/>
      <c r="J25" s="4"/>
      <c r="K25" s="4"/>
    </row>
    <row r="26" spans="1:11" s="5" customFormat="1" ht="15.4">
      <c r="A26" s="35" t="s">
        <v>124</v>
      </c>
      <c r="B26" s="31"/>
      <c r="C26" s="31"/>
      <c r="D26" s="31"/>
      <c r="E26" s="31"/>
      <c r="F26" s="31"/>
      <c r="G26" s="31"/>
      <c r="H26" s="31"/>
      <c r="I26" s="31"/>
      <c r="J26" s="31"/>
      <c r="K26" s="31"/>
    </row>
  </sheetData>
  <mergeCells count="4">
    <mergeCell ref="A1:K1"/>
    <mergeCell ref="A2:K2"/>
    <mergeCell ref="C24:H24"/>
    <mergeCell ref="A26:K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tabSelected="1" workbookViewId="0">
      <selection activeCell="G7" sqref="G7"/>
    </sheetView>
  </sheetViews>
  <sheetFormatPr defaultRowHeight="14.1"/>
  <cols>
    <col min="1" max="1" width="12" customWidth="1"/>
    <col min="2" max="2" width="23" customWidth="1"/>
    <col min="3" max="3" width="31" customWidth="1"/>
    <col min="4" max="4" width="18" customWidth="1"/>
    <col min="5" max="5" width="17" customWidth="1"/>
    <col min="6" max="6" width="12" customWidth="1"/>
    <col min="7" max="7" width="18" customWidth="1"/>
  </cols>
  <sheetData>
    <row r="1" spans="1:7" ht="19.7">
      <c r="A1" s="24" t="s">
        <v>125</v>
      </c>
      <c r="B1" s="25"/>
      <c r="C1" s="25"/>
      <c r="D1" s="25"/>
      <c r="E1" s="25"/>
      <c r="F1" s="25"/>
      <c r="G1" s="25"/>
    </row>
    <row r="2" spans="1:7" s="5" customFormat="1" ht="15.4">
      <c r="A2" s="3" t="s">
        <v>1</v>
      </c>
      <c r="B2" s="31" t="s">
        <v>126</v>
      </c>
      <c r="C2" s="31"/>
      <c r="D2" s="31"/>
      <c r="E2" s="31"/>
      <c r="F2" s="31"/>
      <c r="G2" s="31"/>
    </row>
    <row r="3" spans="1:7" s="5" customFormat="1" ht="15">
      <c r="A3" s="3" t="s">
        <v>127</v>
      </c>
      <c r="B3" s="36">
        <v>250000000</v>
      </c>
      <c r="C3" s="37"/>
      <c r="D3" s="37"/>
      <c r="E3" s="37"/>
      <c r="F3" s="37"/>
      <c r="G3" s="37"/>
    </row>
    <row r="4" spans="1:7" s="5" customFormat="1" ht="15.4">
      <c r="A4" s="6"/>
      <c r="B4" s="6"/>
      <c r="C4" s="6"/>
      <c r="D4" s="6"/>
      <c r="E4" s="6"/>
      <c r="F4" s="6"/>
      <c r="G4" s="6"/>
    </row>
    <row r="5" spans="1:7" s="5" customFormat="1" ht="15">
      <c r="A5" s="16" t="s">
        <v>9</v>
      </c>
      <c r="B5" s="16" t="s">
        <v>128</v>
      </c>
      <c r="C5" s="16" t="s">
        <v>129</v>
      </c>
      <c r="D5" s="16" t="s">
        <v>35</v>
      </c>
      <c r="E5" s="16" t="s">
        <v>130</v>
      </c>
      <c r="F5" s="16" t="s">
        <v>131</v>
      </c>
      <c r="G5" s="16" t="s">
        <v>132</v>
      </c>
    </row>
    <row r="6" spans="1:7" s="5" customFormat="1" ht="15.4">
      <c r="A6" s="15">
        <v>1</v>
      </c>
      <c r="B6" s="4" t="s">
        <v>6</v>
      </c>
      <c r="C6" s="4" t="s">
        <v>133</v>
      </c>
      <c r="D6" s="4" t="s">
        <v>11</v>
      </c>
      <c r="E6" s="4" t="s">
        <v>45</v>
      </c>
      <c r="F6" s="13">
        <f>SUMIFS('02_CV_ThoiGian_ChiPhi'!$I$5:$I$23,'02_CV_ThoiGian_ChiPhi'!$J$5:$J$23,B6,'02_CV_ThoiGian_ChiPhi'!$B$5:$B$23,D6)</f>
        <v>7.8833333333333346</v>
      </c>
      <c r="G6" s="7">
        <f>$B$3*F6/190.85</f>
        <v>10326609.029779062</v>
      </c>
    </row>
    <row r="7" spans="1:7" s="5" customFormat="1" ht="15.4">
      <c r="A7" s="15">
        <v>2</v>
      </c>
      <c r="B7" s="4" t="s">
        <v>6</v>
      </c>
      <c r="C7" s="4" t="s">
        <v>133</v>
      </c>
      <c r="D7" s="4" t="s">
        <v>12</v>
      </c>
      <c r="E7" s="4" t="s">
        <v>67</v>
      </c>
      <c r="F7" s="13">
        <f>SUMIFS('02_CV_ThoiGian_ChiPhi'!$I$5:$I$23,'02_CV_ThoiGian_ChiPhi'!$J$5:$J$23,B7,'02_CV_ThoiGian_ChiPhi'!$B$5:$B$23,D7)</f>
        <v>4.5833333333333339</v>
      </c>
      <c r="G7" s="7">
        <f t="shared" ref="G6:G29" si="0">$B$3*F7/190.85</f>
        <v>6003842.4591738721</v>
      </c>
    </row>
    <row r="8" spans="1:7" s="5" customFormat="1" ht="15.4">
      <c r="A8" s="15">
        <v>3</v>
      </c>
      <c r="B8" s="4" t="s">
        <v>6</v>
      </c>
      <c r="C8" s="4" t="s">
        <v>133</v>
      </c>
      <c r="D8" s="4" t="s">
        <v>13</v>
      </c>
      <c r="E8" s="4" t="s">
        <v>134</v>
      </c>
      <c r="F8" s="13">
        <f>SUMIFS('02_CV_ThoiGian_ChiPhi'!$I$5:$I$23,'02_CV_ThoiGian_ChiPhi'!$J$5:$J$23,B8,'02_CV_ThoiGian_ChiPhi'!$B$5:$B$23,D8)</f>
        <v>0</v>
      </c>
      <c r="G8" s="7">
        <f t="shared" si="0"/>
        <v>0</v>
      </c>
    </row>
    <row r="9" spans="1:7" s="5" customFormat="1" ht="15.4">
      <c r="A9" s="15">
        <v>4</v>
      </c>
      <c r="B9" s="4" t="s">
        <v>6</v>
      </c>
      <c r="C9" s="4" t="s">
        <v>133</v>
      </c>
      <c r="D9" s="4" t="s">
        <v>14</v>
      </c>
      <c r="E9" s="4" t="s">
        <v>94</v>
      </c>
      <c r="F9" s="13">
        <f>SUMIFS('02_CV_ThoiGian_ChiPhi'!$I$5:$I$23,'02_CV_ThoiGian_ChiPhi'!$J$5:$J$23,B9,'02_CV_ThoiGian_ChiPhi'!$B$5:$B$23,D9)</f>
        <v>17.966666666666669</v>
      </c>
      <c r="G9" s="7">
        <f t="shared" si="0"/>
        <v>23535062.439961579</v>
      </c>
    </row>
    <row r="10" spans="1:7" s="5" customFormat="1" ht="15.4">
      <c r="A10" s="15">
        <v>5</v>
      </c>
      <c r="B10" s="4" t="s">
        <v>6</v>
      </c>
      <c r="C10" s="4" t="s">
        <v>133</v>
      </c>
      <c r="D10" s="4" t="s">
        <v>15</v>
      </c>
      <c r="E10" s="4" t="s">
        <v>134</v>
      </c>
      <c r="F10" s="13">
        <f>SUMIFS('02_CV_ThoiGian_ChiPhi'!$I$5:$I$23,'02_CV_ThoiGian_ChiPhi'!$J$5:$J$23,B10,'02_CV_ThoiGian_ChiPhi'!$B$5:$B$23,D10)</f>
        <v>0</v>
      </c>
      <c r="G10" s="7">
        <f t="shared" si="0"/>
        <v>0</v>
      </c>
    </row>
    <row r="11" spans="1:7" s="5" customFormat="1" ht="15.4">
      <c r="A11" s="15">
        <v>6</v>
      </c>
      <c r="B11" s="4" t="s">
        <v>6</v>
      </c>
      <c r="C11" s="4" t="s">
        <v>133</v>
      </c>
      <c r="D11" s="4" t="s">
        <v>16</v>
      </c>
      <c r="E11" s="4" t="s">
        <v>135</v>
      </c>
      <c r="F11" s="13">
        <f>SUMIFS('02_CV_ThoiGian_ChiPhi'!$I$5:$I$23,'02_CV_ThoiGian_ChiPhi'!$J$5:$J$23,B11,'02_CV_ThoiGian_ChiPhi'!$B$5:$B$23,D11)</f>
        <v>16.866666666666667</v>
      </c>
      <c r="G11" s="7">
        <f t="shared" si="0"/>
        <v>22094140.249759849</v>
      </c>
    </row>
    <row r="12" spans="1:7" s="5" customFormat="1" ht="15.4">
      <c r="A12" s="15">
        <v>7</v>
      </c>
      <c r="B12" s="4" t="s">
        <v>62</v>
      </c>
      <c r="C12" s="4" t="s">
        <v>136</v>
      </c>
      <c r="D12" s="4" t="s">
        <v>11</v>
      </c>
      <c r="E12" s="4" t="s">
        <v>134</v>
      </c>
      <c r="F12" s="13">
        <f>SUMIFS('02_CV_ThoiGian_ChiPhi'!$I$5:$I$23,'02_CV_ThoiGian_ChiPhi'!$J$5:$J$23,B12,'02_CV_ThoiGian_ChiPhi'!$B$5:$B$23,D12)</f>
        <v>0</v>
      </c>
      <c r="G12" s="7">
        <f t="shared" si="0"/>
        <v>0</v>
      </c>
    </row>
    <row r="13" spans="1:7" s="5" customFormat="1" ht="15.4">
      <c r="A13" s="15">
        <v>8</v>
      </c>
      <c r="B13" s="4" t="s">
        <v>62</v>
      </c>
      <c r="C13" s="4" t="s">
        <v>136</v>
      </c>
      <c r="D13" s="4" t="s">
        <v>12</v>
      </c>
      <c r="E13" s="4" t="s">
        <v>137</v>
      </c>
      <c r="F13" s="13">
        <f>SUMIFS('02_CV_ThoiGian_ChiPhi'!$I$5:$I$23,'02_CV_ThoiGian_ChiPhi'!$J$5:$J$23,B13,'02_CV_ThoiGian_ChiPhi'!$B$5:$B$23,D13)</f>
        <v>25.483333333333334</v>
      </c>
      <c r="G13" s="7">
        <f t="shared" si="0"/>
        <v>33381364.073006727</v>
      </c>
    </row>
    <row r="14" spans="1:7" s="5" customFormat="1" ht="15.4">
      <c r="A14" s="15">
        <v>9</v>
      </c>
      <c r="B14" s="4" t="s">
        <v>62</v>
      </c>
      <c r="C14" s="4" t="s">
        <v>136</v>
      </c>
      <c r="D14" s="4" t="s">
        <v>13</v>
      </c>
      <c r="E14" s="4" t="s">
        <v>71</v>
      </c>
      <c r="F14" s="13">
        <f>SUMIFS('02_CV_ThoiGian_ChiPhi'!$I$5:$I$23,'02_CV_ThoiGian_ChiPhi'!$J$5:$J$23,B14,'02_CV_ThoiGian_ChiPhi'!$B$5:$B$23,D14)</f>
        <v>6.9666666666666668</v>
      </c>
      <c r="G14" s="7">
        <f t="shared" si="0"/>
        <v>9125840.5379442852</v>
      </c>
    </row>
    <row r="15" spans="1:7" s="5" customFormat="1" ht="15.4">
      <c r="A15" s="15">
        <v>10</v>
      </c>
      <c r="B15" s="4" t="s">
        <v>62</v>
      </c>
      <c r="C15" s="4" t="s">
        <v>136</v>
      </c>
      <c r="D15" s="4" t="s">
        <v>14</v>
      </c>
      <c r="E15" s="4" t="s">
        <v>87</v>
      </c>
      <c r="F15" s="13">
        <f>SUMIFS('02_CV_ThoiGian_ChiPhi'!$I$5:$I$23,'02_CV_ThoiGian_ChiPhi'!$J$5:$J$23,B15,'02_CV_ThoiGian_ChiPhi'!$B$5:$B$23,D15)</f>
        <v>11.366666666666669</v>
      </c>
      <c r="G15" s="7">
        <f t="shared" si="0"/>
        <v>14889529.298751205</v>
      </c>
    </row>
    <row r="16" spans="1:7" s="5" customFormat="1" ht="15.4">
      <c r="A16" s="15">
        <v>11</v>
      </c>
      <c r="B16" s="4" t="s">
        <v>62</v>
      </c>
      <c r="C16" s="4" t="s">
        <v>136</v>
      </c>
      <c r="D16" s="4" t="s">
        <v>15</v>
      </c>
      <c r="E16" s="4" t="s">
        <v>98</v>
      </c>
      <c r="F16" s="13">
        <f>SUMIFS('02_CV_ThoiGian_ChiPhi'!$I$5:$I$23,'02_CV_ThoiGian_ChiPhi'!$J$5:$J$23,B16,'02_CV_ThoiGian_ChiPhi'!$B$5:$B$23,D16)</f>
        <v>6.6000000000000005</v>
      </c>
      <c r="G16" s="7">
        <f t="shared" si="0"/>
        <v>8645533.1412103754</v>
      </c>
    </row>
    <row r="17" spans="1:7" s="5" customFormat="1" ht="15.4">
      <c r="A17" s="15">
        <v>12</v>
      </c>
      <c r="B17" s="4" t="s">
        <v>62</v>
      </c>
      <c r="C17" s="4" t="s">
        <v>136</v>
      </c>
      <c r="D17" s="4" t="s">
        <v>16</v>
      </c>
      <c r="E17" s="4" t="s">
        <v>134</v>
      </c>
      <c r="F17" s="13">
        <f>SUMIFS('02_CV_ThoiGian_ChiPhi'!$I$5:$I$23,'02_CV_ThoiGian_ChiPhi'!$J$5:$J$23,B17,'02_CV_ThoiGian_ChiPhi'!$B$5:$B$23,D17)</f>
        <v>0</v>
      </c>
      <c r="G17" s="7">
        <f t="shared" si="0"/>
        <v>0</v>
      </c>
    </row>
    <row r="18" spans="1:7" s="5" customFormat="1" ht="15.4">
      <c r="A18" s="15">
        <v>13</v>
      </c>
      <c r="B18" s="4" t="s">
        <v>53</v>
      </c>
      <c r="C18" s="4" t="s">
        <v>138</v>
      </c>
      <c r="D18" s="4" t="s">
        <v>11</v>
      </c>
      <c r="E18" s="4" t="s">
        <v>49</v>
      </c>
      <c r="F18" s="13">
        <f>SUMIFS('02_CV_ThoiGian_ChiPhi'!$I$5:$I$23,'02_CV_ThoiGian_ChiPhi'!$J$5:$J$23,B18,'02_CV_ThoiGian_ChiPhi'!$B$5:$B$23,D18)</f>
        <v>12.65</v>
      </c>
      <c r="G18" s="7">
        <f t="shared" si="0"/>
        <v>16570605.187319886</v>
      </c>
    </row>
    <row r="19" spans="1:7" s="5" customFormat="1" ht="15.4">
      <c r="A19" s="15">
        <v>14</v>
      </c>
      <c r="B19" s="4" t="s">
        <v>53</v>
      </c>
      <c r="C19" s="4" t="s">
        <v>138</v>
      </c>
      <c r="D19" s="4" t="s">
        <v>12</v>
      </c>
      <c r="E19" s="4" t="s">
        <v>134</v>
      </c>
      <c r="F19" s="13">
        <f>SUMIFS('02_CV_ThoiGian_ChiPhi'!$I$5:$I$23,'02_CV_ThoiGian_ChiPhi'!$J$5:$J$23,B19,'02_CV_ThoiGian_ChiPhi'!$B$5:$B$23,D19)</f>
        <v>0</v>
      </c>
      <c r="G19" s="7">
        <f t="shared" si="0"/>
        <v>0</v>
      </c>
    </row>
    <row r="20" spans="1:7" s="5" customFormat="1" ht="15.4">
      <c r="A20" s="15">
        <v>15</v>
      </c>
      <c r="B20" s="4" t="s">
        <v>53</v>
      </c>
      <c r="C20" s="4" t="s">
        <v>138</v>
      </c>
      <c r="D20" s="4" t="s">
        <v>13</v>
      </c>
      <c r="E20" s="4" t="s">
        <v>79</v>
      </c>
      <c r="F20" s="13">
        <f>SUMIFS('02_CV_ThoiGian_ChiPhi'!$I$5:$I$23,'02_CV_ThoiGian_ChiPhi'!$J$5:$J$23,B20,'02_CV_ThoiGian_ChiPhi'!$B$5:$B$23,D20)</f>
        <v>11</v>
      </c>
      <c r="G20" s="7">
        <f t="shared" si="0"/>
        <v>14409221.902017292</v>
      </c>
    </row>
    <row r="21" spans="1:7" s="5" customFormat="1" ht="15.4">
      <c r="A21" s="15">
        <v>16</v>
      </c>
      <c r="B21" s="4" t="s">
        <v>53</v>
      </c>
      <c r="C21" s="4" t="s">
        <v>138</v>
      </c>
      <c r="D21" s="4" t="s">
        <v>14</v>
      </c>
      <c r="E21" s="4" t="s">
        <v>91</v>
      </c>
      <c r="F21" s="13">
        <f>SUMIFS('02_CV_ThoiGian_ChiPhi'!$I$5:$I$23,'02_CV_ThoiGian_ChiPhi'!$J$5:$J$23,B21,'02_CV_ThoiGian_ChiPhi'!$B$5:$B$23,D21)</f>
        <v>13.566666666666668</v>
      </c>
      <c r="G21" s="7">
        <f t="shared" si="0"/>
        <v>17771373.679154661</v>
      </c>
    </row>
    <row r="22" spans="1:7" s="5" customFormat="1" ht="15.4">
      <c r="A22" s="15">
        <v>17</v>
      </c>
      <c r="B22" s="4" t="s">
        <v>53</v>
      </c>
      <c r="C22" s="4" t="s">
        <v>138</v>
      </c>
      <c r="D22" s="4" t="s">
        <v>15</v>
      </c>
      <c r="E22" s="4" t="s">
        <v>106</v>
      </c>
      <c r="F22" s="13">
        <f>SUMIFS('02_CV_ThoiGian_ChiPhi'!$I$5:$I$23,'02_CV_ThoiGian_ChiPhi'!$J$5:$J$23,B22,'02_CV_ThoiGian_ChiPhi'!$B$5:$B$23,D22)</f>
        <v>7.8833333333333346</v>
      </c>
      <c r="G22" s="7">
        <f t="shared" si="0"/>
        <v>10326609.029779062</v>
      </c>
    </row>
    <row r="23" spans="1:7" s="5" customFormat="1" ht="15.4">
      <c r="A23" s="15">
        <v>18</v>
      </c>
      <c r="B23" s="4" t="s">
        <v>53</v>
      </c>
      <c r="C23" s="4" t="s">
        <v>138</v>
      </c>
      <c r="D23" s="4" t="s">
        <v>16</v>
      </c>
      <c r="E23" s="4" t="s">
        <v>134</v>
      </c>
      <c r="F23" s="13">
        <f>SUMIFS('02_CV_ThoiGian_ChiPhi'!$I$5:$I$23,'02_CV_ThoiGian_ChiPhi'!$J$5:$J$23,B23,'02_CV_ThoiGian_ChiPhi'!$B$5:$B$23,D23)</f>
        <v>0</v>
      </c>
      <c r="G23" s="7">
        <f t="shared" si="0"/>
        <v>0</v>
      </c>
    </row>
    <row r="24" spans="1:7" s="5" customFormat="1" ht="15.4">
      <c r="A24" s="15">
        <v>19</v>
      </c>
      <c r="B24" s="4" t="s">
        <v>57</v>
      </c>
      <c r="C24" s="4" t="s">
        <v>139</v>
      </c>
      <c r="D24" s="4" t="s">
        <v>11</v>
      </c>
      <c r="E24" s="4" t="s">
        <v>54</v>
      </c>
      <c r="F24" s="13">
        <f>SUMIFS('02_CV_ThoiGian_ChiPhi'!$I$5:$I$23,'02_CV_ThoiGian_ChiPhi'!$J$5:$J$23,B24,'02_CV_ThoiGian_ChiPhi'!$B$5:$B$23,D24)</f>
        <v>4.7666666666666666</v>
      </c>
      <c r="G24" s="7">
        <f t="shared" si="0"/>
        <v>6243996.1575408271</v>
      </c>
    </row>
    <row r="25" spans="1:7" s="5" customFormat="1" ht="15.4">
      <c r="A25" s="15">
        <v>20</v>
      </c>
      <c r="B25" s="4" t="s">
        <v>57</v>
      </c>
      <c r="C25" s="4" t="s">
        <v>139</v>
      </c>
      <c r="D25" s="4" t="s">
        <v>12</v>
      </c>
      <c r="E25" s="4" t="s">
        <v>134</v>
      </c>
      <c r="F25" s="13">
        <f>SUMIFS('02_CV_ThoiGian_ChiPhi'!$I$5:$I$23,'02_CV_ThoiGian_ChiPhi'!$J$5:$J$23,B25,'02_CV_ThoiGian_ChiPhi'!$B$5:$B$23,D25)</f>
        <v>0</v>
      </c>
      <c r="G25" s="7">
        <f t="shared" si="0"/>
        <v>0</v>
      </c>
    </row>
    <row r="26" spans="1:7" s="5" customFormat="1" ht="15.4">
      <c r="A26" s="15">
        <v>21</v>
      </c>
      <c r="B26" s="4" t="s">
        <v>57</v>
      </c>
      <c r="C26" s="4" t="s">
        <v>139</v>
      </c>
      <c r="D26" s="4" t="s">
        <v>13</v>
      </c>
      <c r="E26" s="4" t="s">
        <v>75</v>
      </c>
      <c r="F26" s="13">
        <f>SUMIFS('02_CV_ThoiGian_ChiPhi'!$I$5:$I$23,'02_CV_ThoiGian_ChiPhi'!$J$5:$J$23,B26,'02_CV_ThoiGian_ChiPhi'!$B$5:$B$23,D26)</f>
        <v>12.65</v>
      </c>
      <c r="G26" s="7">
        <f t="shared" si="0"/>
        <v>16570605.187319886</v>
      </c>
    </row>
    <row r="27" spans="1:7" s="5" customFormat="1" ht="15.4">
      <c r="A27" s="15">
        <v>22</v>
      </c>
      <c r="B27" s="4" t="s">
        <v>57</v>
      </c>
      <c r="C27" s="4" t="s">
        <v>139</v>
      </c>
      <c r="D27" s="4" t="s">
        <v>14</v>
      </c>
      <c r="E27" s="4" t="s">
        <v>83</v>
      </c>
      <c r="F27" s="13">
        <f>SUMIFS('02_CV_ThoiGian_ChiPhi'!$I$5:$I$23,'02_CV_ThoiGian_ChiPhi'!$J$5:$J$23,B27,'02_CV_ThoiGian_ChiPhi'!$B$5:$B$23,D27)</f>
        <v>14.483333333333334</v>
      </c>
      <c r="G27" s="7">
        <f t="shared" si="0"/>
        <v>18972142.170989435</v>
      </c>
    </row>
    <row r="28" spans="1:7" s="5" customFormat="1" ht="15.4">
      <c r="A28" s="15">
        <v>23</v>
      </c>
      <c r="B28" s="4" t="s">
        <v>57</v>
      </c>
      <c r="C28" s="4" t="s">
        <v>139</v>
      </c>
      <c r="D28" s="4" t="s">
        <v>15</v>
      </c>
      <c r="E28" s="4" t="s">
        <v>102</v>
      </c>
      <c r="F28" s="13">
        <f>SUMIFS('02_CV_ThoiGian_ChiPhi'!$I$5:$I$23,'02_CV_ThoiGian_ChiPhi'!$J$5:$J$23,B28,'02_CV_ThoiGian_ChiPhi'!$B$5:$B$23,D28)</f>
        <v>16.133333333333333</v>
      </c>
      <c r="G28" s="7">
        <f t="shared" si="0"/>
        <v>21133525.456292026</v>
      </c>
    </row>
    <row r="29" spans="1:7" s="5" customFormat="1" ht="15.4">
      <c r="A29" s="15">
        <v>24</v>
      </c>
      <c r="B29" s="4" t="s">
        <v>57</v>
      </c>
      <c r="C29" s="4" t="s">
        <v>139</v>
      </c>
      <c r="D29" s="4" t="s">
        <v>16</v>
      </c>
      <c r="E29" s="4" t="s">
        <v>134</v>
      </c>
      <c r="F29" s="13">
        <f>SUMIFS('02_CV_ThoiGian_ChiPhi'!$I$5:$I$23,'02_CV_ThoiGian_ChiPhi'!$J$5:$J$23,B29,'02_CV_ThoiGian_ChiPhi'!$B$5:$B$23,D29)</f>
        <v>0</v>
      </c>
      <c r="G29" s="7">
        <f t="shared" si="0"/>
        <v>0</v>
      </c>
    </row>
    <row r="30" spans="1:7" s="5" customFormat="1" ht="15">
      <c r="A30" s="8"/>
      <c r="B30" s="26" t="s">
        <v>140</v>
      </c>
      <c r="C30" s="26"/>
      <c r="D30" s="26"/>
      <c r="E30" s="26"/>
      <c r="F30" s="14">
        <f>SUM(F6:F29)</f>
        <v>190.85000000000002</v>
      </c>
      <c r="G30" s="9">
        <f>SUM(G6:G29)</f>
        <v>250000000</v>
      </c>
    </row>
    <row r="31" spans="1:7" s="5" customFormat="1" ht="15.4">
      <c r="A31" s="4"/>
      <c r="B31" s="4"/>
      <c r="C31" s="4"/>
      <c r="D31" s="4"/>
      <c r="E31" s="4"/>
      <c r="F31" s="4"/>
      <c r="G31" s="4"/>
    </row>
    <row r="32" spans="1:7" s="5" customFormat="1" ht="30">
      <c r="A32" s="16"/>
      <c r="B32" s="16" t="s">
        <v>141</v>
      </c>
      <c r="C32" s="16" t="s">
        <v>142</v>
      </c>
      <c r="D32" s="16" t="s">
        <v>143</v>
      </c>
      <c r="E32" s="4"/>
      <c r="F32" s="4"/>
      <c r="G32" s="4"/>
    </row>
    <row r="33" spans="1:7" s="5" customFormat="1" ht="15.4">
      <c r="A33" s="4"/>
      <c r="B33" s="13" t="s">
        <v>6</v>
      </c>
      <c r="C33" s="22">
        <f>SUMIF($B$6:$B$29,B33,$F$6:$F$29)</f>
        <v>47.300000000000004</v>
      </c>
      <c r="D33" s="23">
        <f>SUMIF($B$6:$B$29,B33,$G$6:$G$29)</f>
        <v>61959654.17867437</v>
      </c>
      <c r="E33" s="4"/>
      <c r="F33" s="4"/>
      <c r="G33" s="4"/>
    </row>
    <row r="34" spans="1:7" s="5" customFormat="1" ht="15.4">
      <c r="A34" s="4"/>
      <c r="B34" s="13" t="s">
        <v>62</v>
      </c>
      <c r="C34" s="22">
        <f>SUMIF($B$6:$B$29,B34,$F$6:$F$29)</f>
        <v>50.416666666666671</v>
      </c>
      <c r="D34" s="23">
        <f>SUMIF($B$6:$B$29,B34,$G$6:$G$29)</f>
        <v>66042267.050912596</v>
      </c>
      <c r="E34" s="4"/>
      <c r="F34" s="4"/>
      <c r="G34" s="4"/>
    </row>
    <row r="35" spans="1:7" s="5" customFormat="1" ht="15.4">
      <c r="A35" s="4"/>
      <c r="B35" s="13" t="s">
        <v>53</v>
      </c>
      <c r="C35" s="22">
        <f>SUMIF($B$6:$B$29,B35,$F$6:$F$29)</f>
        <v>45.1</v>
      </c>
      <c r="D35" s="23">
        <f>SUMIF($B$6:$B$29,B35,$G$6:$G$29)</f>
        <v>59077809.798270896</v>
      </c>
      <c r="E35" s="4"/>
      <c r="F35" s="4"/>
      <c r="G35" s="4"/>
    </row>
    <row r="36" spans="1:7" s="5" customFormat="1" ht="15.4">
      <c r="A36" s="4"/>
      <c r="B36" s="13" t="s">
        <v>57</v>
      </c>
      <c r="C36" s="22">
        <f>SUMIF($B$6:$B$29,B36,$F$6:$F$29)</f>
        <v>48.033333333333331</v>
      </c>
      <c r="D36" s="23">
        <f>SUMIF($B$6:$B$29,B36,$G$6:$G$29)</f>
        <v>62920268.972142175</v>
      </c>
      <c r="E36" s="4"/>
      <c r="F36" s="4"/>
      <c r="G36" s="4"/>
    </row>
    <row r="37" spans="1:7">
      <c r="A37" s="2"/>
      <c r="B37" s="2"/>
      <c r="C37" s="2"/>
      <c r="D37" s="2"/>
      <c r="E37" s="2"/>
      <c r="F37" s="2"/>
      <c r="G37" s="2"/>
    </row>
  </sheetData>
  <mergeCells count="4">
    <mergeCell ref="A1:G1"/>
    <mergeCell ref="B2:G2"/>
    <mergeCell ref="B3:G3"/>
    <mergeCell ref="B30:E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workbookViewId="0">
      <selection activeCell="D22" sqref="D22"/>
    </sheetView>
  </sheetViews>
  <sheetFormatPr defaultRowHeight="14.1"/>
  <cols>
    <col min="1" max="1" width="7" customWidth="1"/>
    <col min="2" max="2" width="18" customWidth="1"/>
    <col min="3" max="3" width="14" customWidth="1"/>
    <col min="4" max="4" width="43" customWidth="1"/>
    <col min="5" max="5" width="9" customWidth="1"/>
    <col min="6" max="6" width="7" customWidth="1"/>
    <col min="7" max="8" width="16" customWidth="1"/>
    <col min="9" max="9" width="24" customWidth="1"/>
  </cols>
  <sheetData>
    <row r="1" spans="1:9" ht="19.7">
      <c r="A1" s="24" t="s">
        <v>144</v>
      </c>
      <c r="B1" s="25"/>
      <c r="C1" s="25"/>
      <c r="D1" s="25"/>
      <c r="E1" s="25"/>
      <c r="F1" s="25"/>
      <c r="G1" s="25"/>
      <c r="H1" s="25"/>
      <c r="I1" s="25"/>
    </row>
    <row r="2" spans="1:9" s="19" customFormat="1" ht="13.7" customHeight="1">
      <c r="A2" s="17"/>
      <c r="B2" s="18"/>
      <c r="C2" s="18"/>
      <c r="D2" s="18"/>
      <c r="E2" s="18"/>
      <c r="F2" s="18"/>
      <c r="G2" s="18"/>
      <c r="H2" s="18"/>
      <c r="I2" s="18"/>
    </row>
    <row r="3" spans="1:9" s="5" customFormat="1" ht="15">
      <c r="A3" s="16" t="s">
        <v>9</v>
      </c>
      <c r="B3" s="16" t="s">
        <v>35</v>
      </c>
      <c r="C3" s="16" t="s">
        <v>145</v>
      </c>
      <c r="D3" s="16" t="s">
        <v>146</v>
      </c>
      <c r="E3" s="16" t="s">
        <v>147</v>
      </c>
      <c r="F3" s="16" t="s">
        <v>148</v>
      </c>
      <c r="G3" s="16" t="s">
        <v>149</v>
      </c>
      <c r="H3" s="16" t="s">
        <v>150</v>
      </c>
      <c r="I3" s="16" t="s">
        <v>151</v>
      </c>
    </row>
    <row r="4" spans="1:9" s="5" customFormat="1" ht="15.4">
      <c r="A4" s="15">
        <v>1</v>
      </c>
      <c r="B4" s="4" t="s">
        <v>13</v>
      </c>
      <c r="C4" s="4" t="s">
        <v>71</v>
      </c>
      <c r="D4" s="4" t="s">
        <v>152</v>
      </c>
      <c r="E4" s="4" t="s">
        <v>153</v>
      </c>
      <c r="F4" s="15">
        <v>1</v>
      </c>
      <c r="G4" s="7">
        <v>30000000</v>
      </c>
      <c r="H4" s="7">
        <v>30000000</v>
      </c>
      <c r="I4" s="4" t="s">
        <v>154</v>
      </c>
    </row>
    <row r="5" spans="1:9" s="5" customFormat="1" ht="15.4">
      <c r="A5" s="15">
        <v>2</v>
      </c>
      <c r="B5" s="4" t="s">
        <v>13</v>
      </c>
      <c r="C5" s="4" t="s">
        <v>75</v>
      </c>
      <c r="D5" s="4" t="s">
        <v>155</v>
      </c>
      <c r="E5" s="4" t="s">
        <v>153</v>
      </c>
      <c r="F5" s="15">
        <v>1</v>
      </c>
      <c r="G5" s="7">
        <v>30000000</v>
      </c>
      <c r="H5" s="7">
        <v>30000000</v>
      </c>
      <c r="I5" s="4" t="s">
        <v>154</v>
      </c>
    </row>
    <row r="6" spans="1:9" s="5" customFormat="1" ht="15.4">
      <c r="A6" s="15">
        <v>3</v>
      </c>
      <c r="B6" s="4" t="s">
        <v>14</v>
      </c>
      <c r="C6" s="4" t="s">
        <v>83</v>
      </c>
      <c r="D6" s="4" t="s">
        <v>156</v>
      </c>
      <c r="E6" s="4" t="s">
        <v>157</v>
      </c>
      <c r="F6" s="15">
        <v>1</v>
      </c>
      <c r="G6" s="7">
        <v>80000000</v>
      </c>
      <c r="H6" s="7">
        <v>80000000</v>
      </c>
      <c r="I6" s="4" t="s">
        <v>158</v>
      </c>
    </row>
    <row r="7" spans="1:9" s="5" customFormat="1" ht="30.95">
      <c r="A7" s="15">
        <v>4</v>
      </c>
      <c r="B7" s="4" t="s">
        <v>14</v>
      </c>
      <c r="C7" s="4" t="s">
        <v>83</v>
      </c>
      <c r="D7" s="4" t="s">
        <v>159</v>
      </c>
      <c r="E7" s="4" t="s">
        <v>157</v>
      </c>
      <c r="F7" s="15">
        <v>1</v>
      </c>
      <c r="G7" s="7">
        <v>30000000</v>
      </c>
      <c r="H7" s="7">
        <v>30000000</v>
      </c>
      <c r="I7" s="4" t="s">
        <v>158</v>
      </c>
    </row>
    <row r="8" spans="1:9" s="5" customFormat="1" ht="30.95">
      <c r="A8" s="15">
        <v>5</v>
      </c>
      <c r="B8" s="4" t="s">
        <v>14</v>
      </c>
      <c r="C8" s="4" t="s">
        <v>87</v>
      </c>
      <c r="D8" s="4" t="s">
        <v>160</v>
      </c>
      <c r="E8" s="4" t="s">
        <v>157</v>
      </c>
      <c r="F8" s="15">
        <v>1</v>
      </c>
      <c r="G8" s="7">
        <v>40000000</v>
      </c>
      <c r="H8" s="7">
        <v>40000000</v>
      </c>
      <c r="I8" s="4" t="s">
        <v>158</v>
      </c>
    </row>
    <row r="9" spans="1:9" s="5" customFormat="1" ht="30.95">
      <c r="A9" s="15">
        <v>6</v>
      </c>
      <c r="B9" s="4" t="s">
        <v>14</v>
      </c>
      <c r="C9" s="4" t="s">
        <v>94</v>
      </c>
      <c r="D9" s="4" t="s">
        <v>161</v>
      </c>
      <c r="E9" s="4" t="s">
        <v>153</v>
      </c>
      <c r="F9" s="15">
        <v>1</v>
      </c>
      <c r="G9" s="7">
        <v>20000000</v>
      </c>
      <c r="H9" s="7">
        <v>20000000</v>
      </c>
      <c r="I9" s="4" t="s">
        <v>158</v>
      </c>
    </row>
    <row r="10" spans="1:9" s="5" customFormat="1" ht="15.4">
      <c r="A10" s="15">
        <v>7</v>
      </c>
      <c r="B10" s="4" t="s">
        <v>15</v>
      </c>
      <c r="C10" s="4" t="s">
        <v>98</v>
      </c>
      <c r="D10" s="4" t="s">
        <v>162</v>
      </c>
      <c r="E10" s="4" t="s">
        <v>153</v>
      </c>
      <c r="F10" s="15">
        <v>1</v>
      </c>
      <c r="G10" s="7">
        <v>20000000</v>
      </c>
      <c r="H10" s="7">
        <v>20000000</v>
      </c>
      <c r="I10" s="4" t="s">
        <v>163</v>
      </c>
    </row>
    <row r="11" spans="1:9" s="5" customFormat="1" ht="15.4">
      <c r="A11" s="15">
        <v>8</v>
      </c>
      <c r="B11" s="4" t="s">
        <v>15</v>
      </c>
      <c r="C11" s="4" t="s">
        <v>102</v>
      </c>
      <c r="D11" s="4" t="s">
        <v>164</v>
      </c>
      <c r="E11" s="4" t="s">
        <v>153</v>
      </c>
      <c r="F11" s="15">
        <v>1</v>
      </c>
      <c r="G11" s="7">
        <v>20000000</v>
      </c>
      <c r="H11" s="7">
        <v>20000000</v>
      </c>
      <c r="I11" s="4" t="s">
        <v>163</v>
      </c>
    </row>
    <row r="12" spans="1:9" s="5" customFormat="1" ht="15.4">
      <c r="A12" s="15">
        <v>9</v>
      </c>
      <c r="B12" s="4" t="s">
        <v>16</v>
      </c>
      <c r="C12" s="4" t="s">
        <v>110</v>
      </c>
      <c r="D12" s="4" t="s">
        <v>165</v>
      </c>
      <c r="E12" s="4" t="s">
        <v>153</v>
      </c>
      <c r="F12" s="15">
        <v>1</v>
      </c>
      <c r="G12" s="7">
        <v>30000000</v>
      </c>
      <c r="H12" s="7">
        <v>30000000</v>
      </c>
      <c r="I12" s="4" t="s">
        <v>166</v>
      </c>
    </row>
    <row r="13" spans="1:9" s="5" customFormat="1" ht="15.4">
      <c r="A13" s="4"/>
      <c r="B13" s="4"/>
      <c r="C13" s="4"/>
      <c r="D13" s="4"/>
      <c r="E13" s="4"/>
      <c r="F13" s="4"/>
      <c r="G13" s="7"/>
      <c r="H13" s="7"/>
      <c r="I13" s="4"/>
    </row>
    <row r="14" spans="1:9" s="5" customFormat="1" ht="15">
      <c r="A14" s="8"/>
      <c r="B14" s="26" t="s">
        <v>140</v>
      </c>
      <c r="C14" s="26"/>
      <c r="D14" s="26"/>
      <c r="E14" s="26"/>
      <c r="F14" s="26"/>
      <c r="G14" s="27"/>
      <c r="H14" s="9">
        <f>SUM(H4:H12)</f>
        <v>300000000</v>
      </c>
      <c r="I14" s="8" t="s">
        <v>167</v>
      </c>
    </row>
  </sheetData>
  <mergeCells count="2">
    <mergeCell ref="A1:I1"/>
    <mergeCell ref="B14:G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workbookViewId="0">
      <selection activeCell="E21" sqref="E21"/>
    </sheetView>
  </sheetViews>
  <sheetFormatPr defaultRowHeight="14.1"/>
  <cols>
    <col min="1" max="1" width="7" customWidth="1"/>
    <col min="2" max="2" width="12" customWidth="1"/>
    <col min="3" max="3" width="18" customWidth="1"/>
    <col min="4" max="4" width="14" customWidth="1"/>
    <col min="5" max="5" width="45.25" customWidth="1"/>
    <col min="6" max="6" width="8" customWidth="1"/>
    <col min="7" max="7" width="7" customWidth="1"/>
    <col min="8" max="9" width="16" customWidth="1"/>
    <col min="10" max="10" width="29.375" customWidth="1"/>
  </cols>
  <sheetData>
    <row r="1" spans="1:10" ht="19.7">
      <c r="A1" s="24" t="s">
        <v>168</v>
      </c>
      <c r="B1" s="25"/>
      <c r="C1" s="25"/>
      <c r="D1" s="25"/>
      <c r="E1" s="25"/>
      <c r="F1" s="25"/>
      <c r="G1" s="25"/>
      <c r="H1" s="25"/>
      <c r="I1" s="25"/>
      <c r="J1" s="25"/>
    </row>
    <row r="2" spans="1:10">
      <c r="A2" s="1"/>
      <c r="B2" s="1"/>
      <c r="C2" s="1"/>
      <c r="D2" s="1"/>
      <c r="F2" s="1"/>
      <c r="G2" s="1"/>
      <c r="H2" s="1"/>
      <c r="I2" s="1"/>
      <c r="J2" s="1"/>
    </row>
    <row r="3" spans="1:10" s="5" customFormat="1" ht="15">
      <c r="A3" s="16" t="s">
        <v>9</v>
      </c>
      <c r="B3" s="16" t="s">
        <v>169</v>
      </c>
      <c r="C3" s="16" t="s">
        <v>35</v>
      </c>
      <c r="D3" s="16" t="s">
        <v>145</v>
      </c>
      <c r="E3" s="16" t="s">
        <v>170</v>
      </c>
      <c r="F3" s="16" t="s">
        <v>147</v>
      </c>
      <c r="G3" s="16" t="s">
        <v>148</v>
      </c>
      <c r="H3" s="16" t="s">
        <v>149</v>
      </c>
      <c r="I3" s="16" t="s">
        <v>150</v>
      </c>
      <c r="J3" s="16" t="s">
        <v>18</v>
      </c>
    </row>
    <row r="4" spans="1:10" s="5" customFormat="1" ht="15.4">
      <c r="A4" s="15">
        <v>1</v>
      </c>
      <c r="B4" s="4" t="s">
        <v>23</v>
      </c>
      <c r="C4" s="4" t="s">
        <v>11</v>
      </c>
      <c r="D4" s="4" t="s">
        <v>171</v>
      </c>
      <c r="E4" s="4" t="s">
        <v>172</v>
      </c>
      <c r="F4" s="15" t="s">
        <v>153</v>
      </c>
      <c r="G4" s="15">
        <v>1</v>
      </c>
      <c r="H4" s="7">
        <v>20000000</v>
      </c>
      <c r="I4" s="7">
        <v>20000000</v>
      </c>
      <c r="J4" s="4" t="s">
        <v>173</v>
      </c>
    </row>
    <row r="5" spans="1:10" s="5" customFormat="1" ht="15.4">
      <c r="A5" s="15">
        <v>2</v>
      </c>
      <c r="B5" s="4" t="s">
        <v>23</v>
      </c>
      <c r="C5" s="4" t="s">
        <v>11</v>
      </c>
      <c r="D5" s="4" t="s">
        <v>45</v>
      </c>
      <c r="E5" s="4" t="s">
        <v>174</v>
      </c>
      <c r="F5" s="15" t="s">
        <v>153</v>
      </c>
      <c r="G5" s="15">
        <v>1</v>
      </c>
      <c r="H5" s="7">
        <v>25000000</v>
      </c>
      <c r="I5" s="7">
        <v>25000000</v>
      </c>
      <c r="J5" s="4" t="s">
        <v>173</v>
      </c>
    </row>
    <row r="6" spans="1:10" s="5" customFormat="1" ht="15.4">
      <c r="A6" s="15">
        <v>3</v>
      </c>
      <c r="B6" s="4" t="s">
        <v>23</v>
      </c>
      <c r="C6" s="4" t="s">
        <v>12</v>
      </c>
      <c r="D6" s="4" t="s">
        <v>175</v>
      </c>
      <c r="E6" s="4" t="s">
        <v>176</v>
      </c>
      <c r="F6" s="15" t="s">
        <v>153</v>
      </c>
      <c r="G6" s="15">
        <v>1</v>
      </c>
      <c r="H6" s="7">
        <v>20000000</v>
      </c>
      <c r="I6" s="7">
        <v>20000000</v>
      </c>
      <c r="J6" s="4" t="s">
        <v>177</v>
      </c>
    </row>
    <row r="7" spans="1:10" s="5" customFormat="1" ht="15.4">
      <c r="A7" s="15">
        <v>4</v>
      </c>
      <c r="B7" s="4" t="s">
        <v>23</v>
      </c>
      <c r="C7" s="4" t="s">
        <v>12</v>
      </c>
      <c r="D7" s="4" t="s">
        <v>178</v>
      </c>
      <c r="E7" s="4" t="s">
        <v>179</v>
      </c>
      <c r="F7" s="15" t="s">
        <v>153</v>
      </c>
      <c r="G7" s="15">
        <v>1</v>
      </c>
      <c r="H7" s="7">
        <v>20000000</v>
      </c>
      <c r="I7" s="7">
        <v>20000000</v>
      </c>
      <c r="J7" s="4" t="s">
        <v>177</v>
      </c>
    </row>
    <row r="8" spans="1:10" s="5" customFormat="1" ht="15.4">
      <c r="A8" s="15">
        <v>5</v>
      </c>
      <c r="B8" s="4" t="s">
        <v>23</v>
      </c>
      <c r="C8" s="4" t="s">
        <v>12</v>
      </c>
      <c r="D8" s="4" t="s">
        <v>67</v>
      </c>
      <c r="E8" s="4" t="s">
        <v>180</v>
      </c>
      <c r="F8" s="15" t="s">
        <v>153</v>
      </c>
      <c r="G8" s="15">
        <v>1</v>
      </c>
      <c r="H8" s="7">
        <v>15000000</v>
      </c>
      <c r="I8" s="7">
        <v>15000000</v>
      </c>
      <c r="J8" s="4" t="s">
        <v>177</v>
      </c>
    </row>
    <row r="9" spans="1:10" s="5" customFormat="1" ht="15.4">
      <c r="A9" s="15">
        <v>6</v>
      </c>
      <c r="B9" s="4" t="s">
        <v>23</v>
      </c>
      <c r="C9" s="4" t="s">
        <v>13</v>
      </c>
      <c r="D9" s="4" t="s">
        <v>79</v>
      </c>
      <c r="E9" s="4" t="s">
        <v>181</v>
      </c>
      <c r="F9" s="15" t="s">
        <v>153</v>
      </c>
      <c r="G9" s="15">
        <v>1</v>
      </c>
      <c r="H9" s="7">
        <v>50000000</v>
      </c>
      <c r="I9" s="7">
        <v>50000000</v>
      </c>
      <c r="J9" s="4" t="s">
        <v>182</v>
      </c>
    </row>
    <row r="10" spans="1:10" s="5" customFormat="1" ht="15.4">
      <c r="A10" s="15">
        <v>7</v>
      </c>
      <c r="B10" s="4" t="s">
        <v>23</v>
      </c>
      <c r="C10" s="4" t="s">
        <v>13</v>
      </c>
      <c r="D10" s="4" t="s">
        <v>183</v>
      </c>
      <c r="E10" s="4" t="s">
        <v>184</v>
      </c>
      <c r="F10" s="15" t="s">
        <v>153</v>
      </c>
      <c r="G10" s="15">
        <v>1</v>
      </c>
      <c r="H10" s="7">
        <v>15000000</v>
      </c>
      <c r="I10" s="7">
        <v>15000000</v>
      </c>
      <c r="J10" s="4" t="s">
        <v>182</v>
      </c>
    </row>
    <row r="11" spans="1:10" s="5" customFormat="1" ht="15.4">
      <c r="A11" s="15">
        <v>8</v>
      </c>
      <c r="B11" s="4" t="s">
        <v>23</v>
      </c>
      <c r="C11" s="4" t="s">
        <v>14</v>
      </c>
      <c r="D11" s="4" t="s">
        <v>185</v>
      </c>
      <c r="E11" s="4" t="s">
        <v>186</v>
      </c>
      <c r="F11" s="15" t="s">
        <v>153</v>
      </c>
      <c r="G11" s="15">
        <v>1</v>
      </c>
      <c r="H11" s="7">
        <v>50000000</v>
      </c>
      <c r="I11" s="7">
        <v>50000000</v>
      </c>
      <c r="J11" s="4" t="s">
        <v>187</v>
      </c>
    </row>
    <row r="12" spans="1:10" s="5" customFormat="1" ht="15.4">
      <c r="A12" s="15">
        <v>9</v>
      </c>
      <c r="B12" s="4" t="s">
        <v>23</v>
      </c>
      <c r="C12" s="4" t="s">
        <v>14</v>
      </c>
      <c r="D12" s="4" t="s">
        <v>94</v>
      </c>
      <c r="E12" s="4" t="s">
        <v>188</v>
      </c>
      <c r="F12" s="15" t="s">
        <v>153</v>
      </c>
      <c r="G12" s="15">
        <v>1</v>
      </c>
      <c r="H12" s="7">
        <v>20000000</v>
      </c>
      <c r="I12" s="7">
        <v>20000000</v>
      </c>
      <c r="J12" s="4" t="s">
        <v>187</v>
      </c>
    </row>
    <row r="13" spans="1:10" s="5" customFormat="1" ht="15.4">
      <c r="A13" s="15">
        <v>10</v>
      </c>
      <c r="B13" s="4" t="s">
        <v>23</v>
      </c>
      <c r="C13" s="4" t="s">
        <v>15</v>
      </c>
      <c r="D13" s="4" t="s">
        <v>189</v>
      </c>
      <c r="E13" s="4" t="s">
        <v>190</v>
      </c>
      <c r="F13" s="15" t="s">
        <v>153</v>
      </c>
      <c r="G13" s="15">
        <v>1</v>
      </c>
      <c r="H13" s="7">
        <v>70000000</v>
      </c>
      <c r="I13" s="7">
        <v>70000000</v>
      </c>
      <c r="J13" s="4" t="s">
        <v>191</v>
      </c>
    </row>
    <row r="14" spans="1:10" s="5" customFormat="1" ht="15.4">
      <c r="A14" s="15">
        <v>11</v>
      </c>
      <c r="B14" s="4" t="s">
        <v>23</v>
      </c>
      <c r="C14" s="4" t="s">
        <v>15</v>
      </c>
      <c r="D14" s="4" t="s">
        <v>102</v>
      </c>
      <c r="E14" s="4" t="s">
        <v>192</v>
      </c>
      <c r="F14" s="15" t="s">
        <v>153</v>
      </c>
      <c r="G14" s="15">
        <v>1</v>
      </c>
      <c r="H14" s="7">
        <v>30000000</v>
      </c>
      <c r="I14" s="7">
        <v>30000000</v>
      </c>
      <c r="J14" s="4" t="s">
        <v>191</v>
      </c>
    </row>
    <row r="15" spans="1:10" s="5" customFormat="1" ht="15.4">
      <c r="A15" s="15">
        <v>12</v>
      </c>
      <c r="B15" s="4" t="s">
        <v>23</v>
      </c>
      <c r="C15" s="4" t="s">
        <v>16</v>
      </c>
      <c r="D15" s="4" t="s">
        <v>193</v>
      </c>
      <c r="E15" s="4" t="s">
        <v>194</v>
      </c>
      <c r="F15" s="15" t="s">
        <v>153</v>
      </c>
      <c r="G15" s="15">
        <v>1</v>
      </c>
      <c r="H15" s="7">
        <v>35000000</v>
      </c>
      <c r="I15" s="7">
        <v>35000000</v>
      </c>
      <c r="J15" s="4" t="s">
        <v>195</v>
      </c>
    </row>
    <row r="16" spans="1:10" s="5" customFormat="1" ht="15.4">
      <c r="A16" s="15">
        <v>13</v>
      </c>
      <c r="B16" s="4" t="s">
        <v>23</v>
      </c>
      <c r="C16" s="4" t="s">
        <v>16</v>
      </c>
      <c r="D16" s="4" t="s">
        <v>114</v>
      </c>
      <c r="E16" s="4" t="s">
        <v>196</v>
      </c>
      <c r="F16" s="15" t="s">
        <v>153</v>
      </c>
      <c r="G16" s="15">
        <v>1</v>
      </c>
      <c r="H16" s="7">
        <v>20000000</v>
      </c>
      <c r="I16" s="7">
        <v>20000000</v>
      </c>
      <c r="J16" s="4" t="s">
        <v>195</v>
      </c>
    </row>
    <row r="17" spans="1:10" s="5" customFormat="1" ht="15.4">
      <c r="A17" s="15">
        <v>14</v>
      </c>
      <c r="B17" s="4" t="s">
        <v>23</v>
      </c>
      <c r="C17" s="4" t="s">
        <v>16</v>
      </c>
      <c r="D17" s="4" t="s">
        <v>118</v>
      </c>
      <c r="E17" s="4" t="s">
        <v>197</v>
      </c>
      <c r="F17" s="15" t="s">
        <v>153</v>
      </c>
      <c r="G17" s="15">
        <v>1</v>
      </c>
      <c r="H17" s="7">
        <v>10000000</v>
      </c>
      <c r="I17" s="7">
        <v>10000000</v>
      </c>
      <c r="J17" s="4" t="s">
        <v>195</v>
      </c>
    </row>
    <row r="18" spans="1:10" s="5" customFormat="1" ht="15.4">
      <c r="A18" s="15">
        <v>15</v>
      </c>
      <c r="B18" s="4" t="s">
        <v>198</v>
      </c>
      <c r="C18" s="4" t="s">
        <v>11</v>
      </c>
      <c r="D18" s="4" t="s">
        <v>199</v>
      </c>
      <c r="E18" s="4" t="s">
        <v>200</v>
      </c>
      <c r="F18" s="15" t="s">
        <v>153</v>
      </c>
      <c r="G18" s="15">
        <v>1</v>
      </c>
      <c r="H18" s="7">
        <v>5000000</v>
      </c>
      <c r="I18" s="7">
        <v>5000000</v>
      </c>
      <c r="J18" s="4" t="s">
        <v>201</v>
      </c>
    </row>
    <row r="19" spans="1:10" s="5" customFormat="1" ht="15.4">
      <c r="A19" s="15">
        <v>16</v>
      </c>
      <c r="B19" s="4" t="s">
        <v>198</v>
      </c>
      <c r="C19" s="4" t="s">
        <v>12</v>
      </c>
      <c r="D19" s="4" t="s">
        <v>202</v>
      </c>
      <c r="E19" s="4" t="s">
        <v>203</v>
      </c>
      <c r="F19" s="15" t="s">
        <v>153</v>
      </c>
      <c r="G19" s="15">
        <v>1</v>
      </c>
      <c r="H19" s="7">
        <v>5000000</v>
      </c>
      <c r="I19" s="7">
        <v>5000000</v>
      </c>
      <c r="J19" s="4" t="s">
        <v>201</v>
      </c>
    </row>
    <row r="20" spans="1:10" s="5" customFormat="1" ht="15.4">
      <c r="A20" s="15">
        <v>17</v>
      </c>
      <c r="B20" s="4" t="s">
        <v>198</v>
      </c>
      <c r="C20" s="4" t="s">
        <v>13</v>
      </c>
      <c r="D20" s="4" t="s">
        <v>183</v>
      </c>
      <c r="E20" s="4" t="s">
        <v>204</v>
      </c>
      <c r="F20" s="15" t="s">
        <v>153</v>
      </c>
      <c r="G20" s="15">
        <v>1</v>
      </c>
      <c r="H20" s="7">
        <v>7000000</v>
      </c>
      <c r="I20" s="7">
        <v>7000000</v>
      </c>
      <c r="J20" s="4" t="s">
        <v>201</v>
      </c>
    </row>
    <row r="21" spans="1:10" s="5" customFormat="1" ht="15.4">
      <c r="A21" s="15">
        <v>18</v>
      </c>
      <c r="B21" s="4" t="s">
        <v>198</v>
      </c>
      <c r="C21" s="4" t="s">
        <v>14</v>
      </c>
      <c r="D21" s="4" t="s">
        <v>185</v>
      </c>
      <c r="E21" s="4" t="s">
        <v>205</v>
      </c>
      <c r="F21" s="15" t="s">
        <v>153</v>
      </c>
      <c r="G21" s="15">
        <v>1</v>
      </c>
      <c r="H21" s="7">
        <v>15000000</v>
      </c>
      <c r="I21" s="7">
        <v>15000000</v>
      </c>
      <c r="J21" s="4" t="s">
        <v>201</v>
      </c>
    </row>
    <row r="22" spans="1:10" s="5" customFormat="1" ht="15.4">
      <c r="A22" s="15">
        <v>19</v>
      </c>
      <c r="B22" s="4" t="s">
        <v>198</v>
      </c>
      <c r="C22" s="4" t="s">
        <v>15</v>
      </c>
      <c r="D22" s="4" t="s">
        <v>206</v>
      </c>
      <c r="E22" s="4" t="s">
        <v>207</v>
      </c>
      <c r="F22" s="15" t="s">
        <v>153</v>
      </c>
      <c r="G22" s="15">
        <v>1</v>
      </c>
      <c r="H22" s="7">
        <v>10000000</v>
      </c>
      <c r="I22" s="7">
        <v>10000000</v>
      </c>
      <c r="J22" s="4" t="s">
        <v>201</v>
      </c>
    </row>
    <row r="23" spans="1:10" s="5" customFormat="1" ht="15.4">
      <c r="A23" s="15">
        <v>20</v>
      </c>
      <c r="B23" s="4" t="s">
        <v>198</v>
      </c>
      <c r="C23" s="4" t="s">
        <v>16</v>
      </c>
      <c r="D23" s="4" t="s">
        <v>193</v>
      </c>
      <c r="E23" s="4" t="s">
        <v>208</v>
      </c>
      <c r="F23" s="15" t="s">
        <v>153</v>
      </c>
      <c r="G23" s="15">
        <v>1</v>
      </c>
      <c r="H23" s="7">
        <v>8000000</v>
      </c>
      <c r="I23" s="7">
        <v>8000000</v>
      </c>
      <c r="J23" s="4" t="s">
        <v>201</v>
      </c>
    </row>
    <row r="24" spans="1:10" s="5" customFormat="1" ht="15.4">
      <c r="A24" s="4"/>
      <c r="B24" s="4"/>
      <c r="C24" s="4"/>
      <c r="D24" s="4"/>
      <c r="E24" s="4"/>
      <c r="F24" s="4"/>
      <c r="G24" s="4"/>
      <c r="H24" s="7"/>
      <c r="I24" s="7"/>
      <c r="J24" s="4"/>
    </row>
    <row r="25" spans="1:10" s="5" customFormat="1" ht="15">
      <c r="A25" s="8"/>
      <c r="B25" s="26" t="s">
        <v>209</v>
      </c>
      <c r="C25" s="26"/>
      <c r="D25" s="26"/>
      <c r="E25" s="26"/>
      <c r="F25" s="26"/>
      <c r="G25" s="26"/>
      <c r="H25" s="27"/>
      <c r="I25" s="9">
        <f>SUMIF(B4:B23,"Chi khác",I4:I23)</f>
        <v>400000000</v>
      </c>
      <c r="J25" s="8" t="s">
        <v>210</v>
      </c>
    </row>
    <row r="26" spans="1:10" s="5" customFormat="1" ht="15">
      <c r="A26" s="20"/>
      <c r="B26" s="28" t="s">
        <v>211</v>
      </c>
      <c r="C26" s="28"/>
      <c r="D26" s="28"/>
      <c r="E26" s="28"/>
      <c r="F26" s="28"/>
      <c r="G26" s="28"/>
      <c r="H26" s="29"/>
      <c r="I26" s="21">
        <f>SUMIF(B4:B23,"Dự phòng",I4:I23)</f>
        <v>50000000</v>
      </c>
      <c r="J26" s="20" t="s">
        <v>212</v>
      </c>
    </row>
    <row r="27" spans="1:10" s="5" customFormat="1" ht="15">
      <c r="A27" s="8"/>
      <c r="B27" s="26" t="s">
        <v>140</v>
      </c>
      <c r="C27" s="26"/>
      <c r="D27" s="26"/>
      <c r="E27" s="26"/>
      <c r="F27" s="26"/>
      <c r="G27" s="26"/>
      <c r="H27" s="27"/>
      <c r="I27" s="9">
        <f>SUM(I25:I26)</f>
        <v>450000000</v>
      </c>
      <c r="J27" s="8" t="s">
        <v>213</v>
      </c>
    </row>
  </sheetData>
  <mergeCells count="4">
    <mergeCell ref="A1:J1"/>
    <mergeCell ref="B25:H25"/>
    <mergeCell ref="B26:H26"/>
    <mergeCell ref="B27:H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914E47-2A39-4765-8C78-D80734BACEA4}"/>
</file>

<file path=customXml/itemProps2.xml><?xml version="1.0" encoding="utf-8"?>
<ds:datastoreItem xmlns:ds="http://schemas.openxmlformats.org/officeDocument/2006/customXml" ds:itemID="{F036511A-C8EB-45C0-90E4-C7286DD8E237}"/>
</file>

<file path=customXml/itemProps3.xml><?xml version="1.0" encoding="utf-8"?>
<ds:datastoreItem xmlns:ds="http://schemas.openxmlformats.org/officeDocument/2006/customXml" ds:itemID="{7BAD7594-0384-4081-824E-23064FDF1B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Hoang Dam Khanh 202490062</cp:lastModifiedBy>
  <cp:revision/>
  <dcterms:created xsi:type="dcterms:W3CDTF">2026-09-17T04:58:43Z</dcterms:created>
  <dcterms:modified xsi:type="dcterms:W3CDTF">2026-09-18T14:48:29Z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