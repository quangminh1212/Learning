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E:\1 - BÁCH KHOA\21 - QUẢN TRỊ DỰ ÁN CNTT\"/>
    </mc:Choice>
  </mc:AlternateContent>
  <xr:revisionPtr revIDLastSave="4" documentId="13_ncr:1_{4139DF03-D65E-4FDE-9931-4E8A2FBEA4EB}" xr6:coauthVersionLast="47" xr6:coauthVersionMax="47" xr10:uidLastSave="{E9C78BBE-477D-438B-9E30-210A846EE09F}"/>
  <bookViews>
    <workbookView xWindow="-103" yWindow="-103" windowWidth="33120" windowHeight="18000" activeTab="1" xr2:uid="{00000000-000D-0000-FFFF-FFFF00000000}"/>
  </bookViews>
  <sheets>
    <sheet name="WBS_PhanRaCTCongViec" sheetId="1" r:id="rId1"/>
    <sheet name="TonChiD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J28" i="1" s="1"/>
  <c r="H27" i="1"/>
  <c r="J27" i="1" s="1"/>
  <c r="H26" i="1"/>
  <c r="J26" i="1" s="1"/>
  <c r="H24" i="1"/>
  <c r="J24" i="1" s="1"/>
  <c r="H23" i="1"/>
  <c r="J23" i="1" s="1"/>
  <c r="H22" i="1"/>
  <c r="J22" i="1" s="1"/>
  <c r="H20" i="1"/>
  <c r="J20" i="1" s="1"/>
  <c r="H19" i="1"/>
  <c r="J19" i="1" s="1"/>
  <c r="H18" i="1"/>
  <c r="J18" i="1" s="1"/>
  <c r="H17" i="1"/>
  <c r="J17" i="1" s="1"/>
  <c r="H15" i="1"/>
  <c r="J15" i="1" s="1"/>
  <c r="H14" i="1"/>
  <c r="J14" i="1" s="1"/>
  <c r="H13" i="1"/>
  <c r="J13" i="1" s="1"/>
  <c r="H11" i="1"/>
  <c r="J11" i="1" s="1"/>
  <c r="H10" i="1"/>
  <c r="J10" i="1" s="1"/>
  <c r="H9" i="1"/>
  <c r="J9" i="1" s="1"/>
  <c r="H7" i="1"/>
  <c r="J7" i="1" s="1"/>
  <c r="H6" i="1"/>
  <c r="J6" i="1" s="1"/>
  <c r="H5" i="1"/>
  <c r="J5" i="1" s="1"/>
  <c r="J29" i="1" l="1"/>
</calcChain>
</file>

<file path=xl/sharedStrings.xml><?xml version="1.0" encoding="utf-8"?>
<sst xmlns="http://schemas.openxmlformats.org/spreadsheetml/2006/main" count="186" uniqueCount="156">
  <si>
    <t>BẢNG PHÂN RÃ CÔNG VIỆC (WBS)</t>
  </si>
  <si>
    <t>STT</t>
  </si>
  <si>
    <t>TÊN CÔNG VIỆC</t>
  </si>
  <si>
    <t>MÔ TẢ</t>
  </si>
  <si>
    <t>ƯỚC LƯỢNG THỜI GIAN THEO PERT
(ĐƠN VỊ: NGÀY CÔNG)</t>
  </si>
  <si>
    <t>NGƯỜI THỰC HIỆN</t>
  </si>
  <si>
    <t>MO</t>
  </si>
  <si>
    <t>ML</t>
  </si>
  <si>
    <t>MP</t>
  </si>
  <si>
    <t>EST</t>
  </si>
  <si>
    <t>TĂNG THÊM</t>
  </si>
  <si>
    <t>EST CHỐT</t>
  </si>
  <si>
    <t>1. SCOPE – KHỞI ĐỘNG &amp; PHẠM VI</t>
  </si>
  <si>
    <t>08/09–25/09/2026 | Đầu ra: Charter, Stakeholder Register, Scope Statement, WBS và baseline ban đầu</t>
  </si>
  <si>
    <t>1.1</t>
  </si>
  <si>
    <t>Khởi động &amp; thiết lập quản trị dự án</t>
  </si>
  <si>
    <t>Họp khởi động; lập Project Charter, stakeholder; quy ước tài liệu/phiên bản và kiểm soát thay đổi.</t>
  </si>
  <si>
    <t>Hoàng Đàm Khánh</t>
  </si>
  <si>
    <t>1.2</t>
  </si>
  <si>
    <t>Khảo sát, xác định phạm vi &amp; WBS</t>
  </si>
  <si>
    <t>Tổng hợp BM01–BM04; chốt IN/OUT, Scope Statement, tiêu chí chấp nhận; lập WBS, PERT và baseline tiến độ.</t>
  </si>
  <si>
    <t>Nguyễn Hồng Dương</t>
  </si>
  <si>
    <t>1.3</t>
  </si>
  <si>
    <t>Dự toán chi phí &amp; rủi ro ban đầu</t>
  </si>
  <si>
    <t>Lập dự toán sơ bộ và Risk Register cho phạm vi, tiến độ, kỹ thuật, con người, dữ liệu và thanh toán.</t>
  </si>
  <si>
    <t>Phạm Đức Anh</t>
  </si>
  <si>
    <t>2. ANALYSIS – PHÂN TÍCH YÊU CẦU</t>
  </si>
  <si>
    <t>26/09–23/10/2026 | Đầu ra: SRS, mô hình nghiệp vụ/use case, ma trận truy vết yêu cầu</t>
  </si>
  <si>
    <t>2.1</t>
  </si>
  <si>
    <t>Tổng hợp khảo sát &amp; mô hình nghiệp vụ</t>
  </si>
  <si>
    <t>Chuyển kết quả khảo sát thành vấn đề/nghiệp vụ; mô hình AS-IS và TO-BE cho giao–nhận Smartbox.</t>
  </si>
  <si>
    <t>Nguyễn Trọng Hiếu</t>
  </si>
  <si>
    <t>2.2</t>
  </si>
  <si>
    <t>Phân tích use case &amp; yêu cầu hệ thống</t>
  </si>
  <si>
    <t>Xác định actor; use case gửi, nhận, thuê ngăn, COD/phí; yêu cầu chức năng, phi chức năng và quy tắc dữ liệu.</t>
  </si>
  <si>
    <t>2.3</t>
  </si>
  <si>
    <t>Hoàn thiện SRS &amp; ma trận truy vết</t>
  </si>
  <si>
    <t>Chuẩn hóa đặc tả; liên kết yêu cầu ↔ use case ↔ tiêu chí chấp nhận/test; rà soát và chốt baseline yêu cầu.</t>
  </si>
  <si>
    <t>3. DESIGN – THIẾT KẾ HỆ THỐNG</t>
  </si>
  <si>
    <t>24/10–20/11/2026 | Đầu ra: kiến trúc, ERD/CSDL, API, prototype và đặc tả tích hợp mock</t>
  </si>
  <si>
    <t>3.1</t>
  </si>
  <si>
    <t>Thiết kế kiến trúc &amp; API</t>
  </si>
  <si>
    <t>Thiết kế các lớp hệ thống, ranh giới module, API chính, dữ liệu vào/ra và cơ chế xử lý lỗi.</t>
  </si>
  <si>
    <t>3.2</t>
  </si>
  <si>
    <t>Thiết kế CSDL, trạng thái &amp; tích hợp nghiệp vụ</t>
  </si>
  <si>
    <t>ERD/lược đồ CSDL; trạng thái trạm/ngăn/giao dịch; OTP/QR, COD/phí, thanh toán và các ràng buộc nhất quán.</t>
  </si>
  <si>
    <t>3.3</t>
  </si>
  <si>
    <t>Thiết kế prototype &amp; chốt baseline</t>
  </si>
  <si>
    <t>Prototype cho cư dân/bưu tá/vận hành; rà soát thiết kế theo SRS và tiêu chí chấp nhận trước khi phát triển.</t>
  </si>
  <si>
    <t>4. DEVELOPMENT – PHÁT TRIỂN HỆ THỐNG</t>
  </si>
  <si>
    <t>21/11/2026–15/01/2027 | Đầu ra: source code, CSDL/dữ liệu demo và các module chạy được</t>
  </si>
  <si>
    <t>4.1</t>
  </si>
  <si>
    <t>Thiết lập nền tảng phát triển &amp; dữ liệu</t>
  </si>
  <si>
    <t>Repository/môi trường; CSDL, migration, dữ liệu mẫu; tài khoản/RBAC và quản lý trạm, loại ngăn, ngăn.</t>
  </si>
  <si>
    <t>4.2</t>
  </si>
  <si>
    <t>Phát triển luồng gửi – nhận hàng</t>
  </si>
  <si>
    <t>Khai báo kiện, cấp ngăn, xác nhận đóng cửa; OTP/QR, kiểm tra điều kiện thanh toán, mở ngăn và hoàn tất giao dịch.</t>
  </si>
  <si>
    <t>4.3</t>
  </si>
  <si>
    <t>Phát triển thuê ngăn, COD/phí &amp; thanh toán</t>
  </si>
  <si>
    <t>Thuê ngăn, quá hạn; tính tách COD/phí; thanh toán mô phỏng, đối soát và chống ghi nhận trùng.</t>
  </si>
  <si>
    <t>4.4</t>
  </si>
  <si>
    <t>Thông báo, sự cố, báo cáo &amp; tích hợp hệ thống</t>
  </si>
  <si>
    <t>Thông báo/nhắc hạn; audit log và trạng thái sự cố; báo cáo/tra cứu; tích hợp end-to-end và code review.</t>
  </si>
  <si>
    <t>5. TESTING – KIỂM THỬ &amp; ĐẢM BẢO CHẤT LƯỢNG</t>
  </si>
  <si>
    <t>16/01–05/02/2027 | Đầu ra: Test Plan, test case/evidence, defect log và báo cáo kiểm thử 4 mức</t>
  </si>
  <si>
    <t>5.1</t>
  </si>
  <si>
    <t>Chuẩn bị kiểm thử &amp; Unit Testing</t>
  </si>
  <si>
    <t>Lập Test Plan, test data, tiêu chí pass/fail, truy vết yêu cầu; kiểm thử đơn vị các hàm/module trọng yếu.</t>
  </si>
  <si>
    <t>5.2</t>
  </si>
  <si>
    <t>Integration/System/NFR &amp; Acceptance Testing</t>
  </si>
  <si>
    <t>Kiểm thử tích hợp, hệ thống, phân quyền/phi chức năng và chạy kịch bản nghiệm thu theo yêu cầu đã chốt.</t>
  </si>
  <si>
    <t>5.3</t>
  </si>
  <si>
    <t>Sửa lỗi, regression &amp; báo cáo kiểm thử</t>
  </si>
  <si>
    <t>Khắc phục lỗi theo ưu tiên; kiểm thử hồi quy; tổng hợp evidence, defect còn lại và báo cáo chất lượng.</t>
  </si>
  <si>
    <t>6. DEPLOYMENT – TRIỂN KHAI DEMO, NGHIỆM THU &amp; ĐÓNG DỰ ÁN</t>
  </si>
  <si>
    <t>06/02–26/02/2027 | Đầu ra: bản demo, hướng dẫn, dữ liệu mẫu, biên bản nghiệm thu, báo cáo và slide</t>
  </si>
  <si>
    <t>6.1</t>
  </si>
  <si>
    <t>Đóng gói, triển khai demo &amp; smoke test</t>
  </si>
  <si>
    <t>Chuẩn hóa cấu hình; triển khai phần mềm/CSDL mô phỏng; nạp dữ liệu mẫu và kiểm tra nhanh sau triển khai.</t>
  </si>
  <si>
    <t>6.2</t>
  </si>
  <si>
    <t>Hoàn thiện hướng dẫn &amp; kịch bản trình bày</t>
  </si>
  <si>
    <t>Hoàn thiện hướng dẫn cài đặt/sử dụng, quy trình hỗ trợ; chuẩn bị kịch bản demo, dữ liệu minh họa và slide.</t>
  </si>
  <si>
    <t>6.3</t>
  </si>
  <si>
    <t>Nghiệm thu, bàn giao &amp; đóng dự án</t>
  </si>
  <si>
    <t>Đối chiếu deliverable/tiêu chí chấp nhận; lập biên bản nghiệm thu, báo cáo tổng hợp, lessons learned và lưu hồ sơ.</t>
  </si>
  <si>
    <t>TỔNG NGÀY CÔNG QUY ĐỔI (các gói công việc có thể thực hiện song song)</t>
  </si>
  <si>
    <t>TÔN CHỈ DỰ ÁN</t>
  </si>
  <si>
    <t>Tôn chỉ dự án (Project Charter) – Nhóm 05</t>
  </si>
  <si>
    <t>1. MÔ TẢ DỰ ÁN</t>
  </si>
  <si>
    <t>Tên dự án</t>
  </si>
  <si>
    <t>Phát triển và triển khai Hệ thống quản lý tủ đồ thông minh Smartbox tại KĐT Vinhomes Ocean Park, Gia Lâm</t>
  </si>
  <si>
    <t>Ngày bắt đầu</t>
  </si>
  <si>
    <t>08/09/2026</t>
  </si>
  <si>
    <t>Ngày kết thúc dự kiến</t>
  </si>
  <si>
    <t>26/02/2027</t>
  </si>
  <si>
    <t>Chủ đầu tư / Nhà tài trợ</t>
  </si>
  <si>
    <t>Ban Quản lý khu đô thị Vinhomes Ocean Park</t>
  </si>
  <si>
    <t>Kinh phí dự kiến</t>
  </si>
  <si>
    <t>1.000.000.000 đồng</t>
  </si>
  <si>
    <t>Giám đốc dự án</t>
  </si>
  <si>
    <t>Hoàng Đàm Khánh – Project Manager</t>
  </si>
  <si>
    <t>Mục tiêu dự án</t>
  </si>
  <si>
    <t>Xây dựng và triển khai bản demo Smartbox hỗ trợ giao/nhận tự phục vụ 24/7; hoàn thiện hồ sơ quản trị, phần mềm/CSDL, kiểm thử 4 mức và nghiệm thu học phần đúng kế hoạch.</t>
  </si>
  <si>
    <t>Chức năng nghiệp vụ</t>
  </si>
  <si>
    <t>Quản lý tài khoản; trạm/loại ngăn/ngăn; gửi–nhận và thuê ngăn; OTP/QR; COD, phí dịch vụ/quá hạn, thanh toán mô phỏng; thông báo; sự cố; tra cứu, nhật ký và báo cáo.</t>
  </si>
  <si>
    <t>Yêu cầu kỹ thuật</t>
  </si>
  <si>
    <t>Ứng dụng web responsive; API + CSDL quan hệ; phân quyền theo vai trò; OTP/QR có hạn và dùng một lần; không cấp trùng ngăn; thanh toán gắn đúng giao dịch và chống ghi nhận lặp; có audit log và trạng thái lỗi rõ ràng.</t>
  </si>
  <si>
    <t>Yêu cầu khác</t>
  </si>
  <si>
    <t>Giao diện tiếng Việt, thao tác ngắn gọn; quản lý phiên bản tài liệu/mã nguồn; có Test Plan, test evidence, hướng dẫn sử dụng và quy trình hỗ trợ khi lỗi.</t>
  </si>
  <si>
    <t>Phạm vi dự án (IN)</t>
  </si>
  <si>
    <t>Khảo sát – phân tích – thiết kế – phát triển phần mềm/CSDL; mô phỏng OTP/QR, thanh toán và trạng thái tủ; kiểm thử Unit/Integration/System/Acceptance; triển khai demo, nghiệm thu và bộ tài liệu quản trị.</t>
  </si>
  <si>
    <t>Ngoài phạm vi (OUT)</t>
  </si>
  <si>
    <t>Lắp đặt tủ phần cứng thật tại Ocean Park; tích hợp cổng thanh toán/SMS thật; vận hành thương mại và cam kết hạ tầng chính thức của Ban quản lý tòa nhà.</t>
  </si>
  <si>
    <t>Các bên liên quan/người sử dụng – Vai trò và trách nhiệm</t>
  </si>
  <si>
    <t>Vai trò</t>
  </si>
  <si>
    <t>Họ tên/Đơn vị</t>
  </si>
  <si>
    <t>Trách nhiệm chính</t>
  </si>
  <si>
    <t>Liên hệ</t>
  </si>
  <si>
    <t>Phê duyệt mục tiêu/yêu cầu, tiêu chí chấp nhận; phản hồi về vận hành.</t>
  </si>
  <si>
    <t>Tầng 1, tòa S2.18, khu Sapphire, Vinhomes Ocean Park, Gia Lâm, Hà Nội. Email: v.bql-vhocp@vinhomes.vn.</t>
  </si>
  <si>
    <t>Điều phối; Charter/stakeholder; rà soát SRS; điều phối tích hợp/báo cáo; triển khai, nghiệm thu và đóng dự án.</t>
  </si>
  <si>
    <t>Khanh.HD2490062@sis.hust.edu.vn</t>
  </si>
  <si>
    <t>Phân tích/Kỹ thuật/QA</t>
  </si>
  <si>
    <t>Dẫn dắt phân tích yêu cầu; kiến trúc/API; luồng gửi–nhận; Unit Testing và hỗ trợ kỹ thuật.</t>
  </si>
  <si>
    <t>Hieu.NT2490054@sis.hust.edu.vn</t>
  </si>
  <si>
    <t>Tiến độ/WBS</t>
  </si>
  <si>
    <t>Scope Statement, WBS/PERT/Gantt; prototype; thuê ngăn/COD–phí; regression và theo dõi tiến độ.</t>
  </si>
  <si>
    <t>Duong.NH2490040@sis.hust.edu.vn</t>
  </si>
  <si>
    <t>Rủi ro/Chi phí/Tài liệu</t>
  </si>
  <si>
    <t>Risk Register/dự toán; CSDL/trạng thái; nền tảng dữ liệu/hạ tầng; System/UAT, tài liệu và phiên bản.</t>
  </si>
  <si>
    <t>Anh.PD2490030@sis.hust.edu.vn</t>
  </si>
  <si>
    <t>Người sử dụng</t>
  </si>
  <si>
    <t>Cư dân/người nhận; bưu tá/người gửi</t>
  </si>
  <si>
    <t>Thực hiện giao/nhận/thuê ngăn; cung cấp phản hồi và tham gia kịch bản UAT.</t>
  </si>
  <si>
    <t>Qua hệ thống</t>
  </si>
  <si>
    <t>Vận hành/Quản trị</t>
  </si>
  <si>
    <t>Đơn vị vận hành; quản trị; đối soát</t>
  </si>
  <si>
    <t>Quản lý trạm/ngăn, sự cố, báo cáo, giao dịch và đối soát thanh toán.</t>
  </si>
  <si>
    <t>XÁC NHẬN CỦA NHÓM DỰ ÁN (ký khi in)</t>
  </si>
  <si>
    <t>2. CÔNG BỐ DỰ ÁN</t>
  </si>
  <si>
    <t>QUYẾT ĐỊNH KHỞI CÔNG DỰ ÁN SMARTBOX</t>
  </si>
  <si>
    <t>Mã nội bộ: CNTT2026_N05-01  |  Ngày công bố: 08/09/2026</t>
  </si>
  <si>
    <t>Mã số</t>
  </si>
  <si>
    <t>CNTT2026_N05</t>
  </si>
  <si>
    <t>Chủ đầu tư</t>
  </si>
  <si>
    <t>Thời gian</t>
  </si>
  <si>
    <t>08/09/2026 – 26/02/2027 (06 tháng)</t>
  </si>
  <si>
    <t>Quản trị viên / Đầu mối kỹ thuật</t>
  </si>
  <si>
    <t>Quy mô dự án</t>
  </si>
  <si>
    <t>Nhóm 04 sinh viên; 06 giai đoạn; triển khai phần mềm + mô phỏng/demo, không mặc định lắp phần cứng thật.</t>
  </si>
  <si>
    <t>Mục tiêu và các yêu cầu</t>
  </si>
  <si>
    <t>Hoàn thành demo gửi/nhận/thuê ngăn; OTP/QR; COD/phí; thanh toán mock; phân quyền; báo cáo; kiểm thử 4 mức và đủ hồ sơ quản trị.</t>
  </si>
  <si>
    <t>Điều kiện nghiệm thu</t>
  </si>
  <si>
    <t>Các deliverable đúng phạm vi; luồng nghiệp vụ chính chạy được; test evidence đạt tiêu chí; tài liệu và biên bản đầy đủ, truy vết được.</t>
  </si>
  <si>
    <t>GIÁM ĐỐC DỰ ÁN</t>
  </si>
  <si>
    <t>(Ký và ghi rõ họ tên)
Hoàng Đàm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</si>
</sst>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b/>
      <sz val="16"/>
      <color rgb="FF163A5F"/>
      <name val="Times New Roman"/>
    </font>
    <font>
      <sz val="11"/>
      <name val="Carlito"/>
    </font>
    <font>
      <sz val="16"/>
      <name val="Times New Roman"/>
      <family val="1"/>
    </font>
    <font>
      <b/>
      <sz val="12"/>
      <color rgb="FF222222"/>
      <name val="Times New Roman"/>
      <family val="1"/>
    </font>
    <font>
      <sz val="12"/>
      <name val="Times New Roman"/>
      <family val="1"/>
    </font>
    <font>
      <sz val="12"/>
      <color rgb="FF111111"/>
      <name val="Times New Roman"/>
      <family val="1"/>
    </font>
    <font>
      <b/>
      <i/>
      <sz val="12"/>
      <color rgb="FF333333"/>
      <name val="Times New Roman"/>
      <family val="1"/>
    </font>
    <font>
      <b/>
      <sz val="12"/>
      <color rgb="FF111111"/>
      <name val="Times New Roman"/>
      <family val="1"/>
    </font>
    <font>
      <b/>
      <sz val="12"/>
      <color rgb="FF163A5F"/>
      <name val="Times New Roman"/>
      <family val="1"/>
    </font>
    <font>
      <i/>
      <sz val="12"/>
      <color rgb="FF111111"/>
      <name val="Times New Roman"/>
      <family val="1"/>
    </font>
    <font>
      <b/>
      <sz val="20"/>
      <color rgb="FF1F4E78"/>
      <name val="Times New Roman"/>
      <family val="1"/>
    </font>
    <font>
      <b/>
      <sz val="14"/>
      <color rgb="FF222222"/>
      <name val="Times New Roman"/>
      <family val="1"/>
    </font>
    <font>
      <sz val="14"/>
      <name val="Times New Roman"/>
      <family val="1"/>
    </font>
    <font>
      <u/>
      <sz val="11"/>
      <color theme="1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2F2F2"/>
      </patternFill>
    </fill>
  </fills>
  <borders count="25">
    <border>
      <left/>
      <right/>
      <top/>
      <bottom/>
      <diagonal/>
    </border>
    <border>
      <left style="thin">
        <color rgb="FF7A8A99"/>
      </left>
      <right/>
      <top style="thin">
        <color rgb="FF7A8A99"/>
      </top>
      <bottom style="thin">
        <color rgb="FF7A8A99"/>
      </bottom>
      <diagonal/>
    </border>
    <border>
      <left/>
      <right/>
      <top style="thin">
        <color rgb="FF7A8A99"/>
      </top>
      <bottom style="thin">
        <color rgb="FF7A8A99"/>
      </bottom>
      <diagonal/>
    </border>
    <border>
      <left/>
      <right style="thin">
        <color rgb="FF7A8A99"/>
      </right>
      <top style="thin">
        <color rgb="FF7A8A99"/>
      </top>
      <bottom style="thin">
        <color rgb="FF7A8A99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8C8C8C"/>
      </left>
      <right/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3">
    <xf numFmtId="0" fontId="0" fillId="0" borderId="0"/>
    <xf numFmtId="0" fontId="2" fillId="0" borderId="0"/>
    <xf numFmtId="0" fontId="14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5" fillId="0" borderId="0" xfId="0" applyFont="1"/>
    <xf numFmtId="0" fontId="4" fillId="4" borderId="23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left" vertical="top" wrapText="1"/>
    </xf>
    <xf numFmtId="0" fontId="4" fillId="3" borderId="17" xfId="1" applyFont="1" applyFill="1" applyBorder="1" applyAlignment="1">
      <alignment vertical="top" wrapText="1"/>
    </xf>
    <xf numFmtId="0" fontId="4" fillId="3" borderId="18" xfId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5" borderId="17" xfId="1" applyFont="1" applyFill="1" applyBorder="1" applyAlignment="1">
      <alignment vertical="top" wrapText="1"/>
    </xf>
    <xf numFmtId="0" fontId="4" fillId="6" borderId="17" xfId="1" applyFont="1" applyFill="1" applyBorder="1" applyAlignment="1">
      <alignment horizontal="left" vertical="top" wrapText="1"/>
    </xf>
    <xf numFmtId="0" fontId="4" fillId="7" borderId="17" xfId="1" applyFont="1" applyFill="1" applyBorder="1" applyAlignment="1">
      <alignment horizontal="left" vertical="top" wrapText="1"/>
    </xf>
    <xf numFmtId="0" fontId="4" fillId="8" borderId="17" xfId="1" applyFont="1" applyFill="1" applyBorder="1" applyAlignment="1">
      <alignment horizontal="left" vertical="top" wrapText="1"/>
    </xf>
    <xf numFmtId="0" fontId="4" fillId="9" borderId="17" xfId="1" applyFont="1" applyFill="1" applyBorder="1" applyAlignment="1">
      <alignment horizontal="left" vertical="top" wrapText="1"/>
    </xf>
    <xf numFmtId="0" fontId="6" fillId="0" borderId="0" xfId="1" applyFont="1" applyAlignment="1">
      <alignment vertical="center" wrapText="1"/>
    </xf>
    <xf numFmtId="1" fontId="6" fillId="5" borderId="17" xfId="1" applyNumberFormat="1" applyFont="1" applyFill="1" applyBorder="1" applyAlignment="1">
      <alignment horizontal="center" vertical="center" wrapText="1"/>
    </xf>
    <xf numFmtId="164" fontId="6" fillId="5" borderId="17" xfId="1" applyNumberFormat="1" applyFont="1" applyFill="1" applyBorder="1" applyAlignment="1">
      <alignment horizontal="center" vertical="center" wrapText="1"/>
    </xf>
    <xf numFmtId="9" fontId="6" fillId="5" borderId="17" xfId="1" applyNumberFormat="1" applyFont="1" applyFill="1" applyBorder="1" applyAlignment="1">
      <alignment horizontal="center" vertical="center" wrapText="1"/>
    </xf>
    <xf numFmtId="1" fontId="4" fillId="6" borderId="17" xfId="1" applyNumberFormat="1" applyFont="1" applyFill="1" applyBorder="1" applyAlignment="1">
      <alignment vertical="center" wrapText="1"/>
    </xf>
    <xf numFmtId="164" fontId="4" fillId="6" borderId="17" xfId="1" applyNumberFormat="1" applyFont="1" applyFill="1" applyBorder="1" applyAlignment="1">
      <alignment vertical="center" wrapText="1"/>
    </xf>
    <xf numFmtId="9" fontId="4" fillId="6" borderId="17" xfId="1" applyNumberFormat="1" applyFont="1" applyFill="1" applyBorder="1" applyAlignment="1">
      <alignment vertical="center" wrapText="1"/>
    </xf>
    <xf numFmtId="1" fontId="4" fillId="7" borderId="17" xfId="1" applyNumberFormat="1" applyFont="1" applyFill="1" applyBorder="1" applyAlignment="1">
      <alignment vertical="center" wrapText="1"/>
    </xf>
    <xf numFmtId="164" fontId="4" fillId="7" borderId="17" xfId="1" applyNumberFormat="1" applyFont="1" applyFill="1" applyBorder="1" applyAlignment="1">
      <alignment vertical="center" wrapText="1"/>
    </xf>
    <xf numFmtId="9" fontId="4" fillId="7" borderId="17" xfId="1" applyNumberFormat="1" applyFont="1" applyFill="1" applyBorder="1" applyAlignment="1">
      <alignment vertical="center" wrapText="1"/>
    </xf>
    <xf numFmtId="1" fontId="4" fillId="8" borderId="17" xfId="1" applyNumberFormat="1" applyFont="1" applyFill="1" applyBorder="1" applyAlignment="1">
      <alignment vertical="center" wrapText="1"/>
    </xf>
    <xf numFmtId="164" fontId="4" fillId="8" borderId="17" xfId="1" applyNumberFormat="1" applyFont="1" applyFill="1" applyBorder="1" applyAlignment="1">
      <alignment vertical="center" wrapText="1"/>
    </xf>
    <xf numFmtId="9" fontId="4" fillId="8" borderId="17" xfId="1" applyNumberFormat="1" applyFont="1" applyFill="1" applyBorder="1" applyAlignment="1">
      <alignment vertical="center" wrapText="1"/>
    </xf>
    <xf numFmtId="1" fontId="4" fillId="9" borderId="17" xfId="1" applyNumberFormat="1" applyFont="1" applyFill="1" applyBorder="1" applyAlignment="1">
      <alignment vertical="center" wrapText="1"/>
    </xf>
    <xf numFmtId="164" fontId="4" fillId="9" borderId="17" xfId="1" applyNumberFormat="1" applyFont="1" applyFill="1" applyBorder="1" applyAlignment="1">
      <alignment vertical="center" wrapText="1"/>
    </xf>
    <xf numFmtId="9" fontId="4" fillId="9" borderId="17" xfId="1" applyNumberFormat="1" applyFont="1" applyFill="1" applyBorder="1" applyAlignment="1">
      <alignment vertical="center" wrapText="1"/>
    </xf>
    <xf numFmtId="0" fontId="6" fillId="5" borderId="18" xfId="1" applyFont="1" applyFill="1" applyBorder="1" applyAlignment="1">
      <alignment vertical="center" wrapText="1"/>
    </xf>
    <xf numFmtId="0" fontId="4" fillId="6" borderId="18" xfId="1" applyFont="1" applyFill="1" applyBorder="1" applyAlignment="1">
      <alignment vertical="center" wrapText="1"/>
    </xf>
    <xf numFmtId="0" fontId="4" fillId="7" borderId="18" xfId="1" applyFont="1" applyFill="1" applyBorder="1" applyAlignment="1">
      <alignment vertical="center" wrapText="1"/>
    </xf>
    <xf numFmtId="0" fontId="4" fillId="8" borderId="18" xfId="1" applyFont="1" applyFill="1" applyBorder="1" applyAlignment="1">
      <alignment vertical="center" wrapText="1"/>
    </xf>
    <xf numFmtId="0" fontId="4" fillId="9" borderId="18" xfId="1" applyFont="1" applyFill="1" applyBorder="1" applyAlignment="1">
      <alignment vertical="center" wrapText="1"/>
    </xf>
    <xf numFmtId="0" fontId="4" fillId="3" borderId="16" xfId="1" applyFont="1" applyFill="1" applyBorder="1" applyAlignment="1">
      <alignment vertical="center" wrapText="1"/>
    </xf>
    <xf numFmtId="0" fontId="4" fillId="3" borderId="17" xfId="1" applyFont="1" applyFill="1" applyBorder="1" applyAlignment="1">
      <alignment horizontal="left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17" xfId="1" applyFont="1" applyFill="1" applyBorder="1" applyAlignment="1">
      <alignment vertical="center" wrapText="1"/>
    </xf>
    <xf numFmtId="0" fontId="4" fillId="6" borderId="16" xfId="1" applyFont="1" applyFill="1" applyBorder="1" applyAlignment="1">
      <alignment vertical="center" wrapText="1"/>
    </xf>
    <xf numFmtId="0" fontId="4" fillId="6" borderId="17" xfId="1" applyFont="1" applyFill="1" applyBorder="1" applyAlignment="1">
      <alignment horizontal="left" vertical="center" wrapText="1"/>
    </xf>
    <xf numFmtId="0" fontId="4" fillId="7" borderId="16" xfId="1" applyFont="1" applyFill="1" applyBorder="1" applyAlignment="1">
      <alignment vertical="center" wrapText="1"/>
    </xf>
    <xf numFmtId="0" fontId="4" fillId="7" borderId="17" xfId="1" applyFont="1" applyFill="1" applyBorder="1" applyAlignment="1">
      <alignment horizontal="left" vertical="center" wrapText="1"/>
    </xf>
    <xf numFmtId="0" fontId="4" fillId="8" borderId="16" xfId="1" applyFont="1" applyFill="1" applyBorder="1" applyAlignment="1">
      <alignment vertical="center" wrapText="1"/>
    </xf>
    <xf numFmtId="0" fontId="4" fillId="8" borderId="17" xfId="1" applyFont="1" applyFill="1" applyBorder="1" applyAlignment="1">
      <alignment horizontal="left" vertical="center" wrapText="1"/>
    </xf>
    <xf numFmtId="0" fontId="4" fillId="9" borderId="16" xfId="1" applyFont="1" applyFill="1" applyBorder="1" applyAlignment="1">
      <alignment vertical="center" wrapText="1"/>
    </xf>
    <xf numFmtId="0" fontId="4" fillId="9" borderId="17" xfId="1" applyFont="1" applyFill="1" applyBorder="1" applyAlignment="1">
      <alignment horizontal="left" vertical="center" wrapText="1"/>
    </xf>
    <xf numFmtId="0" fontId="13" fillId="0" borderId="0" xfId="0" applyFont="1"/>
    <xf numFmtId="0" fontId="6" fillId="0" borderId="5" xfId="1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4" fillId="0" borderId="5" xfId="2" applyBorder="1" applyAlignment="1">
      <alignment vertical="top" wrapText="1"/>
    </xf>
    <xf numFmtId="0" fontId="8" fillId="4" borderId="6" xfId="1" applyFont="1" applyFill="1" applyBorder="1" applyAlignment="1">
      <alignment vertical="center" wrapText="1"/>
    </xf>
    <xf numFmtId="0" fontId="8" fillId="4" borderId="7" xfId="1" applyFont="1" applyFill="1" applyBorder="1" applyAlignment="1">
      <alignment vertical="center" wrapText="1"/>
    </xf>
    <xf numFmtId="0" fontId="8" fillId="4" borderId="8" xfId="1" applyFont="1" applyFill="1" applyBorder="1" applyAlignment="1">
      <alignment vertical="center" wrapText="1"/>
    </xf>
    <xf numFmtId="0" fontId="8" fillId="10" borderId="9" xfId="1" applyFont="1" applyFill="1" applyBorder="1" applyAlignment="1">
      <alignment vertical="center" wrapText="1"/>
    </xf>
    <xf numFmtId="0" fontId="8" fillId="10" borderId="4" xfId="1" applyFont="1" applyFill="1" applyBorder="1" applyAlignment="1">
      <alignment vertical="center" wrapText="1"/>
    </xf>
    <xf numFmtId="0" fontId="12" fillId="10" borderId="16" xfId="1" applyFont="1" applyFill="1" applyBorder="1" applyAlignment="1">
      <alignment horizontal="center" vertical="center" wrapText="1"/>
    </xf>
    <xf numFmtId="0" fontId="12" fillId="10" borderId="17" xfId="1" applyFont="1" applyFill="1" applyBorder="1" applyAlignment="1">
      <alignment horizontal="center" vertical="center" wrapText="1"/>
    </xf>
    <xf numFmtId="164" fontId="12" fillId="10" borderId="17" xfId="1" applyNumberFormat="1" applyFont="1" applyFill="1" applyBorder="1" applyAlignment="1">
      <alignment horizontal="center" vertical="center" wrapText="1"/>
    </xf>
    <xf numFmtId="0" fontId="12" fillId="10" borderId="18" xfId="1" applyFont="1" applyFill="1" applyBorder="1" applyAlignment="1">
      <alignment horizontal="center" vertical="center" wrapText="1"/>
    </xf>
    <xf numFmtId="0" fontId="11" fillId="3" borderId="16" xfId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wrapText="1"/>
    </xf>
    <xf numFmtId="0" fontId="11" fillId="3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4" borderId="20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24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4" borderId="6" xfId="1" applyFont="1" applyFill="1" applyBorder="1" applyAlignment="1">
      <alignment vertical="center" wrapText="1"/>
    </xf>
    <xf numFmtId="0" fontId="8" fillId="4" borderId="7" xfId="1" applyFont="1" applyFill="1" applyBorder="1" applyAlignment="1">
      <alignment vertical="center" wrapText="1"/>
    </xf>
    <xf numFmtId="0" fontId="8" fillId="4" borderId="8" xfId="1" applyFont="1" applyFill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8" fillId="10" borderId="13" xfId="1" applyFont="1" applyFill="1" applyBorder="1" applyAlignment="1">
      <alignment horizontal="center" vertical="center" wrapText="1"/>
    </xf>
    <xf numFmtId="0" fontId="8" fillId="10" borderId="14" xfId="1" applyFont="1" applyFill="1" applyBorder="1" applyAlignment="1">
      <alignment horizontal="center" vertical="center" wrapText="1"/>
    </xf>
    <xf numFmtId="0" fontId="8" fillId="10" borderId="15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6" fillId="0" borderId="4" xfId="1" applyFont="1" applyBorder="1" applyAlignment="1">
      <alignment vertical="center" wrapText="1"/>
    </xf>
    <xf numFmtId="0" fontId="8" fillId="2" borderId="10" xfId="1" applyFont="1" applyFill="1" applyBorder="1" applyAlignment="1">
      <alignment vertical="center" wrapText="1"/>
    </xf>
    <xf numFmtId="0" fontId="8" fillId="2" borderId="11" xfId="1" applyFont="1" applyFill="1" applyBorder="1" applyAlignment="1">
      <alignment vertical="center" wrapText="1"/>
    </xf>
    <xf numFmtId="0" fontId="8" fillId="2" borderId="12" xfId="1" applyFont="1" applyFill="1" applyBorder="1" applyAlignment="1">
      <alignment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top" wrapText="1"/>
    </xf>
    <xf numFmtId="0" fontId="0" fillId="0" borderId="0" xfId="0" applyAlignment="1"/>
    <xf numFmtId="0" fontId="5" fillId="0" borderId="0" xfId="0" applyFont="1" applyAlignment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h.PD2490030@sis.hust.edu.vn" TargetMode="External"/><Relationship Id="rId2" Type="http://schemas.openxmlformats.org/officeDocument/2006/relationships/hyperlink" Target="mailto:Duong.NH2490040@sis.hust.edu.vn" TargetMode="External"/><Relationship Id="rId1" Type="http://schemas.openxmlformats.org/officeDocument/2006/relationships/hyperlink" Target="mailto:Hieu.NT2490054@sis.hust.edu.vn" TargetMode="External"/><Relationship Id="rId4" Type="http://schemas.openxmlformats.org/officeDocument/2006/relationships/hyperlink" Target="mailto:Khanh.HD2490062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8"/>
  <sheetViews>
    <sheetView zoomScale="70" zoomScaleNormal="70" workbookViewId="0">
      <selection activeCell="L29" sqref="L29"/>
    </sheetView>
  </sheetViews>
  <sheetFormatPr defaultRowHeight="14.1"/>
  <cols>
    <col min="1" max="1" width="2.5" customWidth="1"/>
    <col min="2" max="2" width="6.5" customWidth="1"/>
    <col min="3" max="3" width="33.25" customWidth="1"/>
    <col min="4" max="4" width="51.25" customWidth="1"/>
    <col min="5" max="7" width="6.5" customWidth="1"/>
    <col min="8" max="8" width="8.5" customWidth="1"/>
    <col min="9" max="9" width="9" customWidth="1"/>
    <col min="10" max="10" width="9.5" customWidth="1"/>
    <col min="11" max="11" width="22" customWidth="1"/>
  </cols>
  <sheetData>
    <row r="1" spans="2:11" s="1" customFormat="1" ht="24.95">
      <c r="B1" s="59" t="s">
        <v>0</v>
      </c>
      <c r="C1" s="60"/>
      <c r="D1" s="60"/>
      <c r="E1" s="60"/>
      <c r="F1" s="60"/>
      <c r="G1" s="60"/>
      <c r="H1" s="60"/>
      <c r="I1" s="60"/>
      <c r="J1" s="60"/>
      <c r="K1" s="61"/>
    </row>
    <row r="2" spans="2:11" s="2" customFormat="1" ht="31.35" customHeight="1">
      <c r="B2" s="62" t="s">
        <v>1</v>
      </c>
      <c r="C2" s="64" t="s">
        <v>2</v>
      </c>
      <c r="D2" s="64" t="s">
        <v>3</v>
      </c>
      <c r="E2" s="64" t="s">
        <v>4</v>
      </c>
      <c r="F2" s="64"/>
      <c r="G2" s="64"/>
      <c r="H2" s="64"/>
      <c r="I2" s="64"/>
      <c r="J2" s="64"/>
      <c r="K2" s="66" t="s">
        <v>5</v>
      </c>
    </row>
    <row r="3" spans="2:11" s="2" customFormat="1" ht="30">
      <c r="B3" s="63"/>
      <c r="C3" s="65"/>
      <c r="D3" s="65"/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67"/>
    </row>
    <row r="4" spans="2:11" s="7" customFormat="1" ht="30">
      <c r="B4" s="34"/>
      <c r="C4" s="35" t="s">
        <v>12</v>
      </c>
      <c r="D4" s="4" t="s">
        <v>13</v>
      </c>
      <c r="E4" s="5"/>
      <c r="F4" s="5"/>
      <c r="G4" s="5"/>
      <c r="H4" s="5"/>
      <c r="I4" s="5"/>
      <c r="J4" s="5"/>
      <c r="K4" s="6"/>
    </row>
    <row r="5" spans="2:11" s="7" customFormat="1" ht="30.95">
      <c r="B5" s="36" t="s">
        <v>14</v>
      </c>
      <c r="C5" s="37" t="s">
        <v>15</v>
      </c>
      <c r="D5" s="8" t="s">
        <v>16</v>
      </c>
      <c r="E5" s="14">
        <v>4</v>
      </c>
      <c r="F5" s="14">
        <v>7</v>
      </c>
      <c r="G5" s="14">
        <v>11</v>
      </c>
      <c r="H5" s="15">
        <f>(E5+4*F5+G5)/6</f>
        <v>7.166666666666667</v>
      </c>
      <c r="I5" s="16">
        <v>0.1</v>
      </c>
      <c r="J5" s="15">
        <f>H5*(1+I5)</f>
        <v>7.8833333333333346</v>
      </c>
      <c r="K5" s="29" t="s">
        <v>17</v>
      </c>
    </row>
    <row r="6" spans="2:11" s="7" customFormat="1" ht="30.95">
      <c r="B6" s="36" t="s">
        <v>18</v>
      </c>
      <c r="C6" s="37" t="s">
        <v>19</v>
      </c>
      <c r="D6" s="8" t="s">
        <v>20</v>
      </c>
      <c r="E6" s="14">
        <v>7</v>
      </c>
      <c r="F6" s="14">
        <v>11</v>
      </c>
      <c r="G6" s="14">
        <v>18</v>
      </c>
      <c r="H6" s="15">
        <f>(E6+4*F6+G6)/6</f>
        <v>11.5</v>
      </c>
      <c r="I6" s="16">
        <v>0.1</v>
      </c>
      <c r="J6" s="15">
        <f>H6*(1+I6)</f>
        <v>12.65</v>
      </c>
      <c r="K6" s="29" t="s">
        <v>21</v>
      </c>
    </row>
    <row r="7" spans="2:11" s="7" customFormat="1" ht="30.95">
      <c r="B7" s="36" t="s">
        <v>22</v>
      </c>
      <c r="C7" s="37" t="s">
        <v>23</v>
      </c>
      <c r="D7" s="8" t="s">
        <v>24</v>
      </c>
      <c r="E7" s="14">
        <v>2</v>
      </c>
      <c r="F7" s="14">
        <v>4</v>
      </c>
      <c r="G7" s="14">
        <v>8</v>
      </c>
      <c r="H7" s="15">
        <f>(E7+4*F7+G7)/6</f>
        <v>4.333333333333333</v>
      </c>
      <c r="I7" s="16">
        <v>0.1</v>
      </c>
      <c r="J7" s="15">
        <f>H7*(1+I7)</f>
        <v>4.7666666666666666</v>
      </c>
      <c r="K7" s="29" t="s">
        <v>25</v>
      </c>
    </row>
    <row r="8" spans="2:11" s="7" customFormat="1" ht="30">
      <c r="B8" s="38"/>
      <c r="C8" s="39" t="s">
        <v>26</v>
      </c>
      <c r="D8" s="9" t="s">
        <v>27</v>
      </c>
      <c r="E8" s="17"/>
      <c r="F8" s="17"/>
      <c r="G8" s="17"/>
      <c r="H8" s="18"/>
      <c r="I8" s="19"/>
      <c r="J8" s="18"/>
      <c r="K8" s="30"/>
    </row>
    <row r="9" spans="2:11" s="7" customFormat="1" ht="30.95">
      <c r="B9" s="36" t="s">
        <v>28</v>
      </c>
      <c r="C9" s="37" t="s">
        <v>29</v>
      </c>
      <c r="D9" s="8" t="s">
        <v>30</v>
      </c>
      <c r="E9" s="14">
        <v>4</v>
      </c>
      <c r="F9" s="14">
        <v>7</v>
      </c>
      <c r="G9" s="14">
        <v>10</v>
      </c>
      <c r="H9" s="15">
        <f>(E9+4*F9+G9)/6</f>
        <v>7</v>
      </c>
      <c r="I9" s="16">
        <v>0.1</v>
      </c>
      <c r="J9" s="15">
        <f>H9*(1+I9)</f>
        <v>7.7000000000000011</v>
      </c>
      <c r="K9" s="29" t="s">
        <v>31</v>
      </c>
    </row>
    <row r="10" spans="2:11" s="7" customFormat="1" ht="30.95">
      <c r="B10" s="36" t="s">
        <v>32</v>
      </c>
      <c r="C10" s="37" t="s">
        <v>33</v>
      </c>
      <c r="D10" s="8" t="s">
        <v>34</v>
      </c>
      <c r="E10" s="14">
        <v>10</v>
      </c>
      <c r="F10" s="14">
        <v>16</v>
      </c>
      <c r="G10" s="14">
        <v>23</v>
      </c>
      <c r="H10" s="15">
        <f>(E10+4*F10+G10)/6</f>
        <v>16.166666666666668</v>
      </c>
      <c r="I10" s="16">
        <v>0.1</v>
      </c>
      <c r="J10" s="15">
        <f>H10*(1+I10)</f>
        <v>17.783333333333335</v>
      </c>
      <c r="K10" s="29" t="s">
        <v>31</v>
      </c>
    </row>
    <row r="11" spans="2:11" s="7" customFormat="1" ht="30.95">
      <c r="B11" s="36" t="s">
        <v>35</v>
      </c>
      <c r="C11" s="37" t="s">
        <v>36</v>
      </c>
      <c r="D11" s="8" t="s">
        <v>37</v>
      </c>
      <c r="E11" s="14">
        <v>3</v>
      </c>
      <c r="F11" s="14">
        <v>4</v>
      </c>
      <c r="G11" s="14">
        <v>6</v>
      </c>
      <c r="H11" s="15">
        <f>(E11+4*F11+G11)/6</f>
        <v>4.166666666666667</v>
      </c>
      <c r="I11" s="16">
        <v>0.1</v>
      </c>
      <c r="J11" s="15">
        <f>H11*(1+I11)</f>
        <v>4.5833333333333339</v>
      </c>
      <c r="K11" s="29" t="s">
        <v>17</v>
      </c>
    </row>
    <row r="12" spans="2:11" s="7" customFormat="1" ht="30">
      <c r="B12" s="40"/>
      <c r="C12" s="41" t="s">
        <v>38</v>
      </c>
      <c r="D12" s="10" t="s">
        <v>39</v>
      </c>
      <c r="E12" s="20"/>
      <c r="F12" s="20"/>
      <c r="G12" s="20"/>
      <c r="H12" s="21"/>
      <c r="I12" s="22"/>
      <c r="J12" s="21"/>
      <c r="K12" s="31"/>
    </row>
    <row r="13" spans="2:11" s="7" customFormat="1" ht="30.95">
      <c r="B13" s="36" t="s">
        <v>40</v>
      </c>
      <c r="C13" s="37" t="s">
        <v>41</v>
      </c>
      <c r="D13" s="8" t="s">
        <v>42</v>
      </c>
      <c r="E13" s="14">
        <v>4</v>
      </c>
      <c r="F13" s="14">
        <v>6</v>
      </c>
      <c r="G13" s="14">
        <v>10</v>
      </c>
      <c r="H13" s="15">
        <f>(E13+4*F13+G13)/6</f>
        <v>6.333333333333333</v>
      </c>
      <c r="I13" s="16">
        <v>0.1</v>
      </c>
      <c r="J13" s="15">
        <f>H13*(1+I13)</f>
        <v>6.9666666666666668</v>
      </c>
      <c r="K13" s="29" t="s">
        <v>31</v>
      </c>
    </row>
    <row r="14" spans="2:11" s="7" customFormat="1" ht="30.95">
      <c r="B14" s="36" t="s">
        <v>43</v>
      </c>
      <c r="C14" s="37" t="s">
        <v>44</v>
      </c>
      <c r="D14" s="8" t="s">
        <v>45</v>
      </c>
      <c r="E14" s="14">
        <v>6</v>
      </c>
      <c r="F14" s="14">
        <v>11</v>
      </c>
      <c r="G14" s="14">
        <v>19</v>
      </c>
      <c r="H14" s="15">
        <f>(E14+4*F14+G14)/6</f>
        <v>11.5</v>
      </c>
      <c r="I14" s="16">
        <v>0.1</v>
      </c>
      <c r="J14" s="15">
        <f>H14*(1+I14)</f>
        <v>12.65</v>
      </c>
      <c r="K14" s="29" t="s">
        <v>25</v>
      </c>
    </row>
    <row r="15" spans="2:11" s="7" customFormat="1" ht="30.95">
      <c r="B15" s="36" t="s">
        <v>46</v>
      </c>
      <c r="C15" s="37" t="s">
        <v>47</v>
      </c>
      <c r="D15" s="8" t="s">
        <v>48</v>
      </c>
      <c r="E15" s="14">
        <v>5</v>
      </c>
      <c r="F15" s="14">
        <v>10</v>
      </c>
      <c r="G15" s="14">
        <v>15</v>
      </c>
      <c r="H15" s="15">
        <f>(E15+4*F15+G15)/6</f>
        <v>10</v>
      </c>
      <c r="I15" s="16">
        <v>0.1</v>
      </c>
      <c r="J15" s="15">
        <f>H15*(1+I15)</f>
        <v>11</v>
      </c>
      <c r="K15" s="29" t="s">
        <v>21</v>
      </c>
    </row>
    <row r="16" spans="2:11" s="7" customFormat="1" ht="30">
      <c r="B16" s="42"/>
      <c r="C16" s="43" t="s">
        <v>49</v>
      </c>
      <c r="D16" s="11" t="s">
        <v>50</v>
      </c>
      <c r="E16" s="23"/>
      <c r="F16" s="23"/>
      <c r="G16" s="23"/>
      <c r="H16" s="24"/>
      <c r="I16" s="25"/>
      <c r="J16" s="24"/>
      <c r="K16" s="32"/>
    </row>
    <row r="17" spans="2:11" s="7" customFormat="1" ht="30.95">
      <c r="B17" s="36" t="s">
        <v>51</v>
      </c>
      <c r="C17" s="37" t="s">
        <v>52</v>
      </c>
      <c r="D17" s="8" t="s">
        <v>53</v>
      </c>
      <c r="E17" s="14">
        <v>7</v>
      </c>
      <c r="F17" s="14">
        <v>13</v>
      </c>
      <c r="G17" s="14">
        <v>20</v>
      </c>
      <c r="H17" s="15">
        <f>(E17+4*F17+G17)/6</f>
        <v>13.166666666666666</v>
      </c>
      <c r="I17" s="16">
        <v>0.1</v>
      </c>
      <c r="J17" s="15">
        <f>H17*(1+I17)</f>
        <v>14.483333333333334</v>
      </c>
      <c r="K17" s="29" t="s">
        <v>25</v>
      </c>
    </row>
    <row r="18" spans="2:11" s="7" customFormat="1" ht="30.95">
      <c r="B18" s="36" t="s">
        <v>54</v>
      </c>
      <c r="C18" s="37" t="s">
        <v>55</v>
      </c>
      <c r="D18" s="8" t="s">
        <v>56</v>
      </c>
      <c r="E18" s="14">
        <v>6</v>
      </c>
      <c r="F18" s="14">
        <v>10</v>
      </c>
      <c r="G18" s="14">
        <v>16</v>
      </c>
      <c r="H18" s="15">
        <f>(E18+4*F18+G18)/6</f>
        <v>10.333333333333334</v>
      </c>
      <c r="I18" s="16">
        <v>0.1</v>
      </c>
      <c r="J18" s="15">
        <f>H18*(1+I18)</f>
        <v>11.366666666666669</v>
      </c>
      <c r="K18" s="29" t="s">
        <v>31</v>
      </c>
    </row>
    <row r="19" spans="2:11" s="7" customFormat="1" ht="30.95">
      <c r="B19" s="36" t="s">
        <v>57</v>
      </c>
      <c r="C19" s="37" t="s">
        <v>58</v>
      </c>
      <c r="D19" s="8" t="s">
        <v>59</v>
      </c>
      <c r="E19" s="14">
        <v>6</v>
      </c>
      <c r="F19" s="14">
        <v>12</v>
      </c>
      <c r="G19" s="14">
        <v>20</v>
      </c>
      <c r="H19" s="15">
        <f>(E19+4*F19+G19)/6</f>
        <v>12.333333333333334</v>
      </c>
      <c r="I19" s="16">
        <v>0.1</v>
      </c>
      <c r="J19" s="15">
        <f>H19*(1+I19)</f>
        <v>13.566666666666668</v>
      </c>
      <c r="K19" s="29" t="s">
        <v>21</v>
      </c>
    </row>
    <row r="20" spans="2:11" s="7" customFormat="1" ht="30.95">
      <c r="B20" s="36" t="s">
        <v>60</v>
      </c>
      <c r="C20" s="37" t="s">
        <v>61</v>
      </c>
      <c r="D20" s="8" t="s">
        <v>62</v>
      </c>
      <c r="E20" s="14">
        <v>9</v>
      </c>
      <c r="F20" s="14">
        <v>16</v>
      </c>
      <c r="G20" s="14">
        <v>25</v>
      </c>
      <c r="H20" s="15">
        <f>(E20+4*F20+G20)/6</f>
        <v>16.333333333333332</v>
      </c>
      <c r="I20" s="16">
        <v>0.1</v>
      </c>
      <c r="J20" s="15">
        <f>H20*(1+I20)</f>
        <v>17.966666666666669</v>
      </c>
      <c r="K20" s="29" t="s">
        <v>17</v>
      </c>
    </row>
    <row r="21" spans="2:11" s="7" customFormat="1" ht="30">
      <c r="B21" s="44"/>
      <c r="C21" s="45" t="s">
        <v>63</v>
      </c>
      <c r="D21" s="12" t="s">
        <v>64</v>
      </c>
      <c r="E21" s="26"/>
      <c r="F21" s="26"/>
      <c r="G21" s="26"/>
      <c r="H21" s="27"/>
      <c r="I21" s="28"/>
      <c r="J21" s="27"/>
      <c r="K21" s="33"/>
    </row>
    <row r="22" spans="2:11" s="7" customFormat="1" ht="30.95">
      <c r="B22" s="36" t="s">
        <v>65</v>
      </c>
      <c r="C22" s="37" t="s">
        <v>66</v>
      </c>
      <c r="D22" s="8" t="s">
        <v>67</v>
      </c>
      <c r="E22" s="14">
        <v>3</v>
      </c>
      <c r="F22" s="14">
        <v>6</v>
      </c>
      <c r="G22" s="14">
        <v>9</v>
      </c>
      <c r="H22" s="15">
        <f>(E22+4*F22+G22)/6</f>
        <v>6</v>
      </c>
      <c r="I22" s="16">
        <v>0.1</v>
      </c>
      <c r="J22" s="15">
        <f>H22*(1+I22)</f>
        <v>6.6000000000000005</v>
      </c>
      <c r="K22" s="29" t="s">
        <v>31</v>
      </c>
    </row>
    <row r="23" spans="2:11" s="7" customFormat="1" ht="30.95">
      <c r="B23" s="36" t="s">
        <v>68</v>
      </c>
      <c r="C23" s="37" t="s">
        <v>69</v>
      </c>
      <c r="D23" s="8" t="s">
        <v>70</v>
      </c>
      <c r="E23" s="14">
        <v>8</v>
      </c>
      <c r="F23" s="14">
        <v>14</v>
      </c>
      <c r="G23" s="14">
        <v>24</v>
      </c>
      <c r="H23" s="15">
        <f>(E23+4*F23+G23)/6</f>
        <v>14.666666666666666</v>
      </c>
      <c r="I23" s="16">
        <v>0.1</v>
      </c>
      <c r="J23" s="15">
        <f>H23*(1+I23)</f>
        <v>16.133333333333333</v>
      </c>
      <c r="K23" s="29" t="s">
        <v>25</v>
      </c>
    </row>
    <row r="24" spans="2:11" s="7" customFormat="1" ht="30.95">
      <c r="B24" s="36" t="s">
        <v>71</v>
      </c>
      <c r="C24" s="37" t="s">
        <v>72</v>
      </c>
      <c r="D24" s="8" t="s">
        <v>73</v>
      </c>
      <c r="E24" s="14">
        <v>4</v>
      </c>
      <c r="F24" s="14">
        <v>7</v>
      </c>
      <c r="G24" s="14">
        <v>11</v>
      </c>
      <c r="H24" s="15">
        <f>(E24+4*F24+G24)/6</f>
        <v>7.166666666666667</v>
      </c>
      <c r="I24" s="16">
        <v>0.1</v>
      </c>
      <c r="J24" s="15">
        <f>H24*(1+I24)</f>
        <v>7.8833333333333346</v>
      </c>
      <c r="K24" s="29" t="s">
        <v>21</v>
      </c>
    </row>
    <row r="25" spans="2:11" s="7" customFormat="1" ht="45">
      <c r="B25" s="38"/>
      <c r="C25" s="39" t="s">
        <v>74</v>
      </c>
      <c r="D25" s="9" t="s">
        <v>75</v>
      </c>
      <c r="E25" s="17"/>
      <c r="F25" s="17"/>
      <c r="G25" s="17"/>
      <c r="H25" s="18"/>
      <c r="I25" s="19"/>
      <c r="J25" s="18"/>
      <c r="K25" s="30"/>
    </row>
    <row r="26" spans="2:11" s="7" customFormat="1" ht="30.95">
      <c r="B26" s="36" t="s">
        <v>76</v>
      </c>
      <c r="C26" s="37" t="s">
        <v>77</v>
      </c>
      <c r="D26" s="8" t="s">
        <v>78</v>
      </c>
      <c r="E26" s="14">
        <v>3</v>
      </c>
      <c r="F26" s="14">
        <v>6</v>
      </c>
      <c r="G26" s="14">
        <v>11</v>
      </c>
      <c r="H26" s="15">
        <f>(E26+4*F26+G26)/6</f>
        <v>6.333333333333333</v>
      </c>
      <c r="I26" s="16">
        <v>0.1</v>
      </c>
      <c r="J26" s="15">
        <f>H26*(1+I26)</f>
        <v>6.9666666666666668</v>
      </c>
      <c r="K26" s="29" t="s">
        <v>17</v>
      </c>
    </row>
    <row r="27" spans="2:11" s="7" customFormat="1" ht="30.95">
      <c r="B27" s="36" t="s">
        <v>79</v>
      </c>
      <c r="C27" s="37" t="s">
        <v>80</v>
      </c>
      <c r="D27" s="8" t="s">
        <v>81</v>
      </c>
      <c r="E27" s="14">
        <v>3</v>
      </c>
      <c r="F27" s="14">
        <v>5</v>
      </c>
      <c r="G27" s="14">
        <v>7</v>
      </c>
      <c r="H27" s="15">
        <f>(E27+4*F27+G27)/6</f>
        <v>5</v>
      </c>
      <c r="I27" s="16">
        <v>0.1</v>
      </c>
      <c r="J27" s="15">
        <f>H27*(1+I27)</f>
        <v>5.5</v>
      </c>
      <c r="K27" s="29" t="s">
        <v>17</v>
      </c>
    </row>
    <row r="28" spans="2:11" s="7" customFormat="1" ht="30.95">
      <c r="B28" s="36" t="s">
        <v>82</v>
      </c>
      <c r="C28" s="37" t="s">
        <v>83</v>
      </c>
      <c r="D28" s="8" t="s">
        <v>84</v>
      </c>
      <c r="E28" s="14">
        <v>2</v>
      </c>
      <c r="F28" s="14">
        <v>4</v>
      </c>
      <c r="G28" s="14">
        <v>6</v>
      </c>
      <c r="H28" s="15">
        <f>(E28+4*F28+G28)/6</f>
        <v>4</v>
      </c>
      <c r="I28" s="16">
        <v>0.1</v>
      </c>
      <c r="J28" s="15">
        <f>H28*(1+I28)</f>
        <v>4.4000000000000004</v>
      </c>
      <c r="K28" s="29" t="s">
        <v>17</v>
      </c>
    </row>
    <row r="29" spans="2:11" s="46" customFormat="1" ht="18">
      <c r="B29" s="55" t="s">
        <v>85</v>
      </c>
      <c r="C29" s="56"/>
      <c r="D29" s="56"/>
      <c r="E29" s="56"/>
      <c r="F29" s="56"/>
      <c r="G29" s="56"/>
      <c r="H29" s="56">
        <v>0</v>
      </c>
      <c r="I29" s="56"/>
      <c r="J29" s="57">
        <f>SUM(J5:J28)</f>
        <v>190.85</v>
      </c>
      <c r="K29" s="58"/>
    </row>
    <row r="30" spans="2:11" ht="10.5" customHeight="1"/>
    <row r="31" spans="2:11" ht="10.5" customHeight="1"/>
    <row r="32" spans="2:11" ht="10.5" customHeight="1"/>
    <row r="33" ht="10.5" customHeight="1"/>
    <row r="34" ht="10.5" customHeight="1"/>
    <row r="35" ht="9.7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9.7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9.7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spans="10:11" ht="10.5" customHeight="1"/>
    <row r="67" spans="10:11" ht="9.1999999999999993" customHeight="1">
      <c r="J67" s="91"/>
      <c r="K67" s="91"/>
    </row>
    <row r="68" spans="10:11" ht="13.7" customHeight="1"/>
  </sheetData>
  <mergeCells count="9">
    <mergeCell ref="J67:K67"/>
    <mergeCell ref="B29:I29"/>
    <mergeCell ref="J29:K29"/>
    <mergeCell ref="B1:K1"/>
    <mergeCell ref="B2:B3"/>
    <mergeCell ref="C2:C3"/>
    <mergeCell ref="D2:D3"/>
    <mergeCell ref="E2:J2"/>
    <mergeCell ref="K2:K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abSelected="1" topLeftCell="A25" zoomScale="85" zoomScaleNormal="85" workbookViewId="0">
      <selection activeCell="A41" activeCellId="1" sqref="A40:XFD40 A41:XFD41"/>
    </sheetView>
  </sheetViews>
  <sheetFormatPr defaultRowHeight="14.1"/>
  <cols>
    <col min="1" max="1" width="26" customWidth="1"/>
    <col min="2" max="2" width="28" customWidth="1"/>
    <col min="3" max="3" width="44" customWidth="1"/>
    <col min="4" max="4" width="31.375" customWidth="1"/>
  </cols>
  <sheetData>
    <row r="1" spans="1:4" ht="19.7">
      <c r="A1" s="68" t="s">
        <v>86</v>
      </c>
      <c r="B1" s="69"/>
      <c r="C1" s="69"/>
      <c r="D1" s="70"/>
    </row>
    <row r="2" spans="1:4" s="2" customFormat="1" ht="15.4">
      <c r="A2" s="71" t="s">
        <v>87</v>
      </c>
      <c r="B2" s="71"/>
      <c r="C2" s="71"/>
      <c r="D2" s="71"/>
    </row>
    <row r="3" spans="1:4" s="2" customFormat="1" ht="15.4">
      <c r="A3" s="13"/>
      <c r="B3" s="13"/>
      <c r="C3" s="13"/>
      <c r="D3" s="13"/>
    </row>
    <row r="4" spans="1:4" s="2" customFormat="1" ht="15.4">
      <c r="A4" s="72" t="s">
        <v>88</v>
      </c>
      <c r="B4" s="73"/>
      <c r="C4" s="73"/>
      <c r="D4" s="74"/>
    </row>
    <row r="5" spans="1:4" s="2" customFormat="1" ht="15.4">
      <c r="A5" s="53" t="s">
        <v>89</v>
      </c>
      <c r="B5" s="75" t="s">
        <v>90</v>
      </c>
      <c r="C5" s="75"/>
      <c r="D5" s="75"/>
    </row>
    <row r="6" spans="1:4" s="2" customFormat="1" ht="15.4">
      <c r="A6" s="53" t="s">
        <v>91</v>
      </c>
      <c r="B6" s="75" t="s">
        <v>92</v>
      </c>
      <c r="C6" s="75"/>
      <c r="D6" s="75"/>
    </row>
    <row r="7" spans="1:4" s="2" customFormat="1" ht="15.4">
      <c r="A7" s="53" t="s">
        <v>93</v>
      </c>
      <c r="B7" s="75" t="s">
        <v>94</v>
      </c>
      <c r="C7" s="75"/>
      <c r="D7" s="75"/>
    </row>
    <row r="8" spans="1:4" s="2" customFormat="1" ht="15.4">
      <c r="A8" s="53" t="s">
        <v>95</v>
      </c>
      <c r="B8" s="75" t="s">
        <v>96</v>
      </c>
      <c r="C8" s="75"/>
      <c r="D8" s="75"/>
    </row>
    <row r="9" spans="1:4" s="2" customFormat="1" ht="15.4">
      <c r="A9" s="53" t="s">
        <v>97</v>
      </c>
      <c r="B9" s="75" t="s">
        <v>98</v>
      </c>
      <c r="C9" s="75"/>
      <c r="D9" s="75"/>
    </row>
    <row r="10" spans="1:4" s="2" customFormat="1" ht="15.4">
      <c r="A10" s="53" t="s">
        <v>99</v>
      </c>
      <c r="B10" s="75" t="s">
        <v>100</v>
      </c>
      <c r="C10" s="75"/>
      <c r="D10" s="75"/>
    </row>
    <row r="11" spans="1:4" s="2" customFormat="1" ht="36" customHeight="1">
      <c r="A11" s="53" t="s">
        <v>101</v>
      </c>
      <c r="B11" s="75" t="s">
        <v>102</v>
      </c>
      <c r="C11" s="75"/>
      <c r="D11" s="75"/>
    </row>
    <row r="12" spans="1:4" s="2" customFormat="1" ht="36" customHeight="1">
      <c r="A12" s="53" t="s">
        <v>103</v>
      </c>
      <c r="B12" s="75" t="s">
        <v>104</v>
      </c>
      <c r="C12" s="75"/>
      <c r="D12" s="75"/>
    </row>
    <row r="13" spans="1:4" s="2" customFormat="1" ht="36" customHeight="1">
      <c r="A13" s="53" t="s">
        <v>105</v>
      </c>
      <c r="B13" s="75" t="s">
        <v>106</v>
      </c>
      <c r="C13" s="75"/>
      <c r="D13" s="75"/>
    </row>
    <row r="14" spans="1:4" s="2" customFormat="1" ht="36" customHeight="1">
      <c r="A14" s="53" t="s">
        <v>107</v>
      </c>
      <c r="B14" s="75" t="s">
        <v>108</v>
      </c>
      <c r="C14" s="75"/>
      <c r="D14" s="75"/>
    </row>
    <row r="15" spans="1:4" s="2" customFormat="1" ht="36" customHeight="1">
      <c r="A15" s="53" t="s">
        <v>109</v>
      </c>
      <c r="B15" s="75" t="s">
        <v>110</v>
      </c>
      <c r="C15" s="75"/>
      <c r="D15" s="75"/>
    </row>
    <row r="16" spans="1:4" s="2" customFormat="1" ht="36" customHeight="1">
      <c r="A16" s="53" t="s">
        <v>111</v>
      </c>
      <c r="B16" s="75" t="s">
        <v>112</v>
      </c>
      <c r="C16" s="75"/>
      <c r="D16" s="75"/>
    </row>
    <row r="17" spans="1:4" s="2" customFormat="1" ht="15.4">
      <c r="A17" s="84" t="s">
        <v>113</v>
      </c>
      <c r="B17" s="85"/>
      <c r="C17" s="85"/>
      <c r="D17" s="86"/>
    </row>
    <row r="18" spans="1:4" s="2" customFormat="1" ht="15.4">
      <c r="A18" s="87" t="s">
        <v>114</v>
      </c>
      <c r="B18" s="87" t="s">
        <v>115</v>
      </c>
      <c r="C18" s="87" t="s">
        <v>116</v>
      </c>
      <c r="D18" s="87" t="s">
        <v>117</v>
      </c>
    </row>
    <row r="19" spans="1:4" s="2" customFormat="1" ht="15.4">
      <c r="A19" s="87"/>
      <c r="B19" s="87"/>
      <c r="C19" s="87"/>
      <c r="D19" s="87"/>
    </row>
    <row r="20" spans="1:4" s="2" customFormat="1" ht="61.7">
      <c r="A20" s="47" t="s">
        <v>95</v>
      </c>
      <c r="B20" s="47" t="s">
        <v>96</v>
      </c>
      <c r="C20" s="47" t="s">
        <v>118</v>
      </c>
      <c r="D20" s="47" t="s">
        <v>119</v>
      </c>
    </row>
    <row r="21" spans="1:4" s="2" customFormat="1" ht="46.35">
      <c r="A21" s="48" t="s">
        <v>99</v>
      </c>
      <c r="B21" s="48" t="s">
        <v>17</v>
      </c>
      <c r="C21" s="48" t="s">
        <v>120</v>
      </c>
      <c r="D21" s="49" t="s">
        <v>121</v>
      </c>
    </row>
    <row r="22" spans="1:4" s="2" customFormat="1" ht="30.95">
      <c r="A22" s="48" t="s">
        <v>122</v>
      </c>
      <c r="B22" s="48" t="s">
        <v>31</v>
      </c>
      <c r="C22" s="48" t="s">
        <v>123</v>
      </c>
      <c r="D22" s="49" t="s">
        <v>124</v>
      </c>
    </row>
    <row r="23" spans="1:4" s="2" customFormat="1" ht="30.95">
      <c r="A23" s="48" t="s">
        <v>125</v>
      </c>
      <c r="B23" s="48" t="s">
        <v>21</v>
      </c>
      <c r="C23" s="48" t="s">
        <v>126</v>
      </c>
      <c r="D23" s="49" t="s">
        <v>127</v>
      </c>
    </row>
    <row r="24" spans="1:4" s="2" customFormat="1" ht="30.95">
      <c r="A24" s="48" t="s">
        <v>128</v>
      </c>
      <c r="B24" s="48" t="s">
        <v>25</v>
      </c>
      <c r="C24" s="48" t="s">
        <v>129</v>
      </c>
      <c r="D24" s="49" t="s">
        <v>130</v>
      </c>
    </row>
    <row r="25" spans="1:4" s="2" customFormat="1" ht="30.95">
      <c r="A25" s="47" t="s">
        <v>131</v>
      </c>
      <c r="B25" s="47" t="s">
        <v>132</v>
      </c>
      <c r="C25" s="47" t="s">
        <v>133</v>
      </c>
      <c r="D25" s="47" t="s">
        <v>134</v>
      </c>
    </row>
    <row r="26" spans="1:4" s="2" customFormat="1" ht="30.95">
      <c r="A26" s="47" t="s">
        <v>135</v>
      </c>
      <c r="B26" s="47" t="s">
        <v>136</v>
      </c>
      <c r="C26" s="47" t="s">
        <v>137</v>
      </c>
      <c r="D26" s="47" t="s">
        <v>134</v>
      </c>
    </row>
    <row r="27" spans="1:4" s="2" customFormat="1" ht="15.4">
      <c r="A27" s="13"/>
      <c r="B27" s="13"/>
      <c r="C27" s="13"/>
      <c r="D27" s="13"/>
    </row>
    <row r="28" spans="1:4" s="2" customFormat="1" ht="15.4">
      <c r="A28" s="76" t="s">
        <v>138</v>
      </c>
      <c r="B28" s="77"/>
      <c r="C28" s="77"/>
      <c r="D28" s="78"/>
    </row>
    <row r="29" spans="1:4" s="2" customFormat="1" ht="15.4">
      <c r="A29" s="13"/>
      <c r="B29" s="13"/>
      <c r="C29" s="13"/>
      <c r="D29" s="13"/>
    </row>
    <row r="30" spans="1:4" s="2" customFormat="1" ht="15.4">
      <c r="A30" s="50" t="s">
        <v>139</v>
      </c>
      <c r="B30" s="51"/>
      <c r="C30" s="51"/>
      <c r="D30" s="52"/>
    </row>
    <row r="31" spans="1:4" s="2" customFormat="1" ht="15.4">
      <c r="A31" s="79" t="s">
        <v>140</v>
      </c>
      <c r="B31" s="80"/>
      <c r="C31" s="80"/>
      <c r="D31" s="81"/>
    </row>
    <row r="32" spans="1:4" s="2" customFormat="1" ht="15.4">
      <c r="A32" s="82" t="s">
        <v>141</v>
      </c>
      <c r="B32" s="82"/>
      <c r="C32" s="82"/>
      <c r="D32" s="82"/>
    </row>
    <row r="33" spans="1:4" s="2" customFormat="1" ht="15.4">
      <c r="A33" s="54" t="s">
        <v>89</v>
      </c>
      <c r="B33" s="83" t="s">
        <v>90</v>
      </c>
      <c r="C33" s="83"/>
      <c r="D33" s="83"/>
    </row>
    <row r="34" spans="1:4" s="2" customFormat="1" ht="15.4">
      <c r="A34" s="54" t="s">
        <v>142</v>
      </c>
      <c r="B34" s="83" t="s">
        <v>143</v>
      </c>
      <c r="C34" s="83"/>
      <c r="D34" s="83"/>
    </row>
    <row r="35" spans="1:4" s="2" customFormat="1" ht="15.4">
      <c r="A35" s="54" t="s">
        <v>144</v>
      </c>
      <c r="B35" s="83" t="s">
        <v>96</v>
      </c>
      <c r="C35" s="83"/>
      <c r="D35" s="83"/>
    </row>
    <row r="36" spans="1:4" s="2" customFormat="1" ht="15.4">
      <c r="A36" s="54" t="s">
        <v>145</v>
      </c>
      <c r="B36" s="83" t="s">
        <v>146</v>
      </c>
      <c r="C36" s="83"/>
      <c r="D36" s="83"/>
    </row>
    <row r="37" spans="1:4" s="2" customFormat="1" ht="15.4">
      <c r="A37" s="54" t="s">
        <v>99</v>
      </c>
      <c r="B37" s="83" t="s">
        <v>17</v>
      </c>
      <c r="C37" s="83"/>
      <c r="D37" s="83"/>
    </row>
    <row r="38" spans="1:4" s="2" customFormat="1" ht="30">
      <c r="A38" s="54" t="s">
        <v>147</v>
      </c>
      <c r="B38" s="83" t="s">
        <v>31</v>
      </c>
      <c r="C38" s="83"/>
      <c r="D38" s="83"/>
    </row>
    <row r="39" spans="1:4" s="2" customFormat="1" ht="15.4">
      <c r="A39" s="54" t="s">
        <v>148</v>
      </c>
      <c r="B39" s="83" t="s">
        <v>149</v>
      </c>
      <c r="C39" s="83"/>
      <c r="D39" s="83"/>
    </row>
    <row r="40" spans="1:4" s="2" customFormat="1" ht="27" customHeight="1">
      <c r="A40" s="54" t="s">
        <v>150</v>
      </c>
      <c r="B40" s="83" t="s">
        <v>151</v>
      </c>
      <c r="C40" s="83"/>
      <c r="D40" s="83"/>
    </row>
    <row r="41" spans="1:4" s="2" customFormat="1" ht="27" customHeight="1">
      <c r="A41" s="54" t="s">
        <v>152</v>
      </c>
      <c r="B41" s="83" t="s">
        <v>153</v>
      </c>
      <c r="C41" s="83"/>
      <c r="D41" s="83"/>
    </row>
    <row r="42" spans="1:4" s="2" customFormat="1" ht="15.4">
      <c r="A42" s="13"/>
      <c r="B42" s="13"/>
      <c r="C42" s="89" t="s">
        <v>154</v>
      </c>
      <c r="D42" s="89"/>
    </row>
    <row r="43" spans="1:4" s="2" customFormat="1" ht="15.4">
      <c r="A43" s="13"/>
      <c r="B43" s="13"/>
      <c r="C43" s="90" t="s">
        <v>155</v>
      </c>
      <c r="D43" s="90"/>
    </row>
    <row r="44" spans="1:4" s="2" customFormat="1" ht="15.4">
      <c r="C44" s="92"/>
      <c r="D44" s="92"/>
    </row>
    <row r="45" spans="1:4" s="2" customFormat="1" ht="15.4">
      <c r="C45" s="92"/>
      <c r="D45" s="92"/>
    </row>
    <row r="46" spans="1:4" s="2" customFormat="1" ht="15.4">
      <c r="C46" s="88" t="s">
        <v>17</v>
      </c>
      <c r="D46" s="88"/>
    </row>
    <row r="47" spans="1:4">
      <c r="C47" s="91"/>
      <c r="D47" s="91"/>
    </row>
  </sheetData>
  <mergeCells count="38">
    <mergeCell ref="C44:D44"/>
    <mergeCell ref="C45:D45"/>
    <mergeCell ref="C46:D46"/>
    <mergeCell ref="C47:D47"/>
    <mergeCell ref="B39:D39"/>
    <mergeCell ref="B40:D40"/>
    <mergeCell ref="B41:D41"/>
    <mergeCell ref="C42:D42"/>
    <mergeCell ref="C43:D43"/>
    <mergeCell ref="B34:D34"/>
    <mergeCell ref="B35:D35"/>
    <mergeCell ref="B36:D36"/>
    <mergeCell ref="B37:D37"/>
    <mergeCell ref="B38:D38"/>
    <mergeCell ref="A28:D28"/>
    <mergeCell ref="A31:D31"/>
    <mergeCell ref="A32:D32"/>
    <mergeCell ref="B33:D33"/>
    <mergeCell ref="A17:D17"/>
    <mergeCell ref="A18:A19"/>
    <mergeCell ref="B18:B19"/>
    <mergeCell ref="C18:C19"/>
    <mergeCell ref="D18:D19"/>
    <mergeCell ref="B12:D12"/>
    <mergeCell ref="B13:D13"/>
    <mergeCell ref="B14:D14"/>
    <mergeCell ref="B15:D15"/>
    <mergeCell ref="B16:D16"/>
    <mergeCell ref="B7:D7"/>
    <mergeCell ref="B8:D8"/>
    <mergeCell ref="B9:D9"/>
    <mergeCell ref="B10:D10"/>
    <mergeCell ref="B11:D11"/>
    <mergeCell ref="A1:D1"/>
    <mergeCell ref="A2:D2"/>
    <mergeCell ref="A4:D4"/>
    <mergeCell ref="B5:D5"/>
    <mergeCell ref="B6:D6"/>
  </mergeCells>
  <hyperlinks>
    <hyperlink ref="D22" r:id="rId1" xr:uid="{924B6098-47CB-4DF6-BF6D-0AC45E32E4F0}"/>
    <hyperlink ref="D23" r:id="rId2" xr:uid="{141FE791-8E2D-4057-957C-F576683EA449}"/>
    <hyperlink ref="D24" r:id="rId3" xr:uid="{C39B9CB2-A930-4C64-AE68-0CBF3B6B1E9C}"/>
    <hyperlink ref="D21" r:id="rId4" xr:uid="{96FB319F-B273-431D-B985-F8F1FADEAF8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280EF655-3503-4168-83D9-25138D55C56F}"/>
</file>

<file path=customXml/itemProps2.xml><?xml version="1.0" encoding="utf-8"?>
<ds:datastoreItem xmlns:ds="http://schemas.openxmlformats.org/officeDocument/2006/customXml" ds:itemID="{382D0B49-2D40-4458-AEF1-EDF869669B5E}"/>
</file>

<file path=customXml/itemProps3.xml><?xml version="1.0" encoding="utf-8"?>
<ds:datastoreItem xmlns:ds="http://schemas.openxmlformats.org/officeDocument/2006/customXml" ds:itemID="{FC8377BF-E9A0-45DD-B7B3-2808D1E7A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Trong Hieu 202490054</cp:lastModifiedBy>
  <cp:revision/>
  <dcterms:created xsi:type="dcterms:W3CDTF">2026-09-15T18:08:26Z</dcterms:created>
  <dcterms:modified xsi:type="dcterms:W3CDTF">2026-09-18T14:47:32Z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  <property fmtid="{D5CDD505-2E9C-101B-9397-08002B2CF9AE}" pid="3" name="MediaServiceImageTags">
    <vt:lpwstr/>
  </property>
</Properties>
</file>