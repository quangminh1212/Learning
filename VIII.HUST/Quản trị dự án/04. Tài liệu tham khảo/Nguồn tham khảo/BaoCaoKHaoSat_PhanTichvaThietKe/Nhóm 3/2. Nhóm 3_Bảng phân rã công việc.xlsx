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BS_PhanRaCTCongViec" sheetId="1" r:id="rId4"/>
    <sheet state="visible" name="TongCongSoMoiThanhVien" sheetId="2" r:id="rId5"/>
    <sheet state="visible" name="TonChiDA" sheetId="3" r:id="rId6"/>
  </sheets>
  <definedNames>
    <definedName localSheetId="2" name="_Toc403047574">TonChiDA!$A$27</definedName>
    <definedName localSheetId="2" name="_Toc403047573">TonChiDA!$A$4</definedName>
  </definedNames>
  <calcPr/>
  <extLst>
    <ext uri="GoogleSheetsCustomDataVersion2">
      <go:sheetsCustomData xmlns:go="http://customooxmlschemas.google.com/" r:id="rId7" roundtripDataChecksum="iQIZCj8oQtYzmwXtSUWyW7tgVx1XHAwgwfOtvRrY/mY="/>
    </ext>
  </extLst>
</workbook>
</file>

<file path=xl/sharedStrings.xml><?xml version="1.0" encoding="utf-8"?>
<sst xmlns="http://schemas.openxmlformats.org/spreadsheetml/2006/main" count="352" uniqueCount="223">
  <si>
    <t>STT</t>
  </si>
  <si>
    <t>Thành viên</t>
  </si>
  <si>
    <t>PHẦN 2 : TÔN CHỈ DỰ ÁN</t>
  </si>
  <si>
    <t>Giai đoạn A</t>
  </si>
  <si>
    <t>Task</t>
  </si>
  <si>
    <t>Mô tả</t>
  </si>
  <si>
    <t>Giai đoạn B</t>
  </si>
  <si>
    <t>Sản phẩm</t>
  </si>
  <si>
    <t>Giai đoạn C</t>
  </si>
  <si>
    <t>Tôn chỉ dự án (Project Charter)</t>
  </si>
  <si>
    <t>Giai đoạn D</t>
  </si>
  <si>
    <t>Giai đoạn E</t>
  </si>
  <si>
    <t>Giai đoạn F</t>
  </si>
  <si>
    <t>Thời gian</t>
  </si>
  <si>
    <t>Tổng cộng</t>
  </si>
  <si>
    <t>Thứ tự thực hiện</t>
  </si>
  <si>
    <t>Người thực hiện</t>
  </si>
  <si>
    <r>
      <rPr>
        <rFont val="Times New Roman"/>
        <b/>
        <color rgb="FF000000"/>
        <sz val="12.0"/>
      </rPr>
      <t>1.</t>
    </r>
    <r>
      <rPr>
        <rFont val="Times New Roman"/>
        <b/>
        <color rgb="FF000000"/>
        <sz val="12.0"/>
      </rPr>
      <t xml:space="preserve">    </t>
    </r>
    <r>
      <rPr>
        <rFont val="Times New Roman"/>
        <b/>
        <color rgb="FF000000"/>
        <sz val="12.0"/>
      </rPr>
      <t xml:space="preserve">Mô tả dự án </t>
    </r>
  </si>
  <si>
    <t>Bùi Thanh Phương</t>
  </si>
  <si>
    <t>Estimate (manday)</t>
  </si>
  <si>
    <r>
      <rPr>
        <rFont val="Times New Roman"/>
        <color rgb="FF000000"/>
        <sz val="12.0"/>
      </rPr>
      <t xml:space="preserve">• </t>
    </r>
    <r>
      <rPr>
        <rFont val="Times New Roman"/>
        <b/>
        <color rgb="FF000000"/>
        <sz val="12.0"/>
      </rPr>
      <t>Tên dự án</t>
    </r>
    <r>
      <rPr>
        <rFont val="Times New Roman"/>
        <color rgb="FF000000"/>
        <sz val="12.0"/>
      </rPr>
      <t xml:space="preserve">: Xây dựng hệ thống quản lý du học sinh bậc đại học của trung tâm tư vấn vấn du học Amec </t>
    </r>
  </si>
  <si>
    <r>
      <rPr>
        <rFont val="Times New Roman"/>
        <color rgb="FF000000"/>
        <sz val="12.0"/>
      </rPr>
      <t xml:space="preserve">• </t>
    </r>
    <r>
      <rPr>
        <rFont val="Times New Roman"/>
        <b/>
        <color rgb="FF000000"/>
        <sz val="12.0"/>
      </rPr>
      <t>Ngày bẳt đầu</t>
    </r>
    <r>
      <rPr>
        <rFont val="Times New Roman"/>
        <color rgb="FF000000"/>
        <sz val="12.0"/>
      </rPr>
      <t>: 01/09/2026</t>
    </r>
  </si>
  <si>
    <r>
      <rPr>
        <rFont val="Times New Roman"/>
        <color rgb="FF000000"/>
        <sz val="12.0"/>
      </rPr>
      <t xml:space="preserve">• </t>
    </r>
    <r>
      <rPr>
        <rFont val="Times New Roman"/>
        <b/>
        <color rgb="FF000000"/>
        <sz val="12.0"/>
      </rPr>
      <t>Ngày kết thúc</t>
    </r>
    <r>
      <rPr>
        <rFont val="Times New Roman"/>
        <color rgb="FF000000"/>
        <sz val="12.0"/>
      </rPr>
      <t>: 31/03/2027</t>
    </r>
  </si>
  <si>
    <t>MO</t>
  </si>
  <si>
    <r>
      <rPr>
        <rFont val="Times New Roman"/>
        <b/>
        <color rgb="FF000000"/>
        <sz val="12.0"/>
      </rPr>
      <t>• Chủ đầu tư</t>
    </r>
    <r>
      <rPr>
        <rFont val="Times New Roman"/>
        <b val="0"/>
        <color rgb="FF000000"/>
        <sz val="12.0"/>
      </rPr>
      <t>: Trung tâm tư vấn vấn du học Amec</t>
    </r>
  </si>
  <si>
    <t>ML</t>
  </si>
  <si>
    <r>
      <rPr>
        <rFont val="Times New Roman"/>
        <color rgb="FF000000"/>
        <sz val="12.0"/>
      </rPr>
      <t xml:space="preserve">• </t>
    </r>
    <r>
      <rPr>
        <rFont val="Times New Roman"/>
        <b/>
        <color rgb="FF000000"/>
        <sz val="12.0"/>
      </rPr>
      <t>Kinh phí</t>
    </r>
    <r>
      <rPr>
        <rFont val="Times New Roman"/>
        <color rgb="FF000000"/>
        <sz val="12.0"/>
      </rPr>
      <t xml:space="preserve">: 1.000.000.000 VND </t>
    </r>
    <r>
      <rPr>
        <rFont val="Times New Roman"/>
        <i/>
        <color rgb="FF000000"/>
        <sz val="12.0"/>
      </rPr>
      <t>(Một tỷ đồng)</t>
    </r>
  </si>
  <si>
    <t>MP</t>
  </si>
  <si>
    <r>
      <rPr>
        <rFont val="Times New Roman"/>
        <color rgb="FF000000"/>
        <sz val="12.0"/>
      </rPr>
      <t xml:space="preserve">• </t>
    </r>
    <r>
      <rPr>
        <rFont val="Times New Roman"/>
        <b/>
        <color rgb="FF000000"/>
        <sz val="12.0"/>
      </rPr>
      <t>Giám đốc dự án</t>
    </r>
    <r>
      <rPr>
        <rFont val="Times New Roman"/>
        <color rgb="FF000000"/>
        <sz val="12.0"/>
      </rPr>
      <t>: Bùi Thanh Phương</t>
    </r>
  </si>
  <si>
    <t>EST PERT</t>
  </si>
  <si>
    <r>
      <rPr>
        <rFont val="Times New Roman"/>
        <color rgb="FF000000"/>
        <sz val="12.0"/>
      </rPr>
      <t xml:space="preserve">• </t>
    </r>
    <r>
      <rPr>
        <rFont val="Times New Roman"/>
        <b/>
        <color rgb="FF000000"/>
        <sz val="12.0"/>
      </rPr>
      <t>Mục tiêu dự án</t>
    </r>
    <r>
      <rPr>
        <rFont val="Times New Roman"/>
        <color rgb="FF000000"/>
        <sz val="12.0"/>
      </rPr>
      <t>:  
- Mục tiêu tổng quát: Xây dựng thành công Hệ thống phần mềm quản lý du học sinh bậc đại học cho trung tâm tư vấn du học Amec, tối ưu hóa toàn bộ các công đoạn quản lý từ khâu tiếp nhận đến sau khi du học.  
- Mục tiêu cụ thể: 
  + Số hóa và chuẩn hóa 10 quy trình nghiệp vụ cốt lõi: Tiếp nhận hồ sơ, Tư vấn chọn trường, Quản lý Visa/pháp lý, Quản lý Học bổng, Quản lý Tài chính, Cập nhật GPA, Quản lý Người thân, Hỗ trợ du học sinh, Báo cáo thống kê,          
  + Quản lý Trường đối tác một cách khoa học, trật tự nhằm nâng cao hiệu suất và chất lượng công việc của trung tâm.
  + Phân tích &amp; thiết kế chi tiết hệ thống sao cho phù hợp với nhu cầu và workflow thực tế của trung tâm.
  + Xây dựng CSDL chuẩn hóa, đảm bảo các dữ liệu được tổ chức lưu phù hợp, bảo mật an toàn thông tin.</t>
    </r>
  </si>
  <si>
    <t>Buffer</t>
  </si>
  <si>
    <t>EST chốt</t>
  </si>
  <si>
    <t xml:space="preserve">- Chức năng nghiệp vụ : Hệ thống cung cấp chức năng để phục vụ cho các hoạt động chính của trung tâm:
  + Tiếp nhận &amp; Tạo hồ sơ du học sinh: Thu thập thông tin cá nhân, kiểm tra tính hợp lệ, tự động cấp mã sinh viên (MSSV) và tạo tài khoản đăng nhập.  
  + Tư vấn ngành &amp; Chọn trường: Đánh giá năng lực/mục tiêu của sinh viên, tra cứu danh sách trường đối tác theo quốc gia và lập hồ sơ định hướng học thuật.  
  + Quản lý Visa &amp; Hồ sơ pháp lý: Lưu trữ thông tin hộ chiếu, theo dõi tiến độ/trạng thái xin visa và tự động cảnh báo lịch gia hạn visa.  
  + Quản lý &amp; Hỗ trợ xin học bổng: Quản lý danh mục học bổng, lọc sinh viên đủ điều kiện, hỗ trợ nộp hồ sơ và ghi nhận kết quả/giá trị học bổng.  
  + Giám sát tài chính &amp; Đối soát học phí: Quản lý thông báo học phí (Invoice), đối chiếu biên lai đóng tiền để kích hoạt hồ sơ visa và đối soát hoa hồng đại lý.  
  + Theo dõi kết quả học tập (GPA): Lưu trữ bảng điểm GPA, tổng tín chỉ tích lũy từng kỳ và tự động gợi ý xếp loại học lực.  
  + Quản lý thông tin người thân: Lưu trữ chi tiết thông tin liên hệ của người bảo lãnh/người thân để sử dụng trong trường hợp khẩn cấp.  
  + Hỗ trợ du học sinh tại nước ngoài: Tiếp nhận yêu cầu trợ giúp (học tập, đời sống, pháp lý) và phối hợp với trường đối tác để xử lý.  
  + Thống kê &amp; Báo cáo quản trị: Xuất báo cáo tự động và hiển thị Dashboard về tỷ lệ visa, doanh thu, công nợ học phí và phân bổ thị trường.  
  + Quản lý danh mục trường đối tác: Cập nhật thông tin chi tiết, xếp hạng, ngành học và chính sách tuyển sinh/học phí của các trường liên kết.  </t>
  </si>
  <si>
    <t>- Yêu cầu kĩ thuật (Đáp ứng được tiêu chuẩn của một Website):  
+ Kiến trúc &amp; Công nghệ: Xây dựng theo mô hình 3 lớp (MVC (Model-View-Controller)). 
+ Giao diện hiển thị tốt trên PC.
+ Cơ sở dữ liệu: Thiết kế CSDL quan hệ chuẩn hóa (SQL Server/MySQL)
+ Hiệu năng &amp; Khả năng mở rộng: Thời gian phản hồi truy vấn dữ liệu/tìm kiếm dưới 2 giây; sẵn sàng tích hợp API mở rộng (Email/SMS Automation, Payment Gateway).
+ Bảo mật: Mã hóa mật khẩu người dùng, cơ chế phân quyền RBAC (Role-Based Access Control) nghiêm ngặt, đảm bảo an toàn dữ liệu cá nhân theo quy định.</t>
  </si>
  <si>
    <t>-Yêu cầu khác :  
+ Giảm 80% thời gian nhập liệu trùng lặp giữa các phòng ban.  
+ Đảm bảo tính nhất quán của dữ liệu từ khâu tư vấn ban đầu đến suốt quá trình học tập tại nước ngoài.  
+ Giao diện trực quan, dễ sử dụng, giảm thiểu tối đa thời gian đào tạo cho nhân viên mới.</t>
  </si>
  <si>
    <t>- Phạm vi của dự án :
(1) Nằm trong phạm vi (In-Scope):
+ Phân tích, thiết kế, phát triển và kiểm thử hệ thống phần mềm quản lý du học sinh bậc đại học.  
+ Số hóa và quản lý dữ liệu du học sinh tại các thị trường chính: Hàn Quốc, Nhật Bản, Mỹ, Úc, Châu Âu.  
+ Triển khai thử nghiệm hệ thống, đào tạo hướng dẫn sử dụng và bàn giao cho Trung tâm Amec.  
(2) Ngoài phạm vi (Out-of-Scope):
+ Mua sắm trang thiết bị phần cứng (máy tính, máy chủ vật lý) cho trung tâm.
+ Nghiệp vụ quản lý du học sinh bậc phổ thông/thạc sĩ/tiến sĩ (giai đoạn này chỉ tập trung bậc đại học).  
+ Tự động thanh toán chuyển khoản quốc tế trực tiếp qua ngân hàng (hệ thống chỉ quản lý hóa đơn/biên lai).</t>
  </si>
  <si>
    <t xml:space="preserve"> </t>
  </si>
  <si>
    <r>
      <rPr>
        <rFont val="Times New Roman"/>
        <color rgb="FF000000"/>
        <sz val="12.0"/>
      </rPr>
      <t xml:space="preserve">- Đối tượng sử dụng: </t>
    </r>
    <r>
      <rPr>
        <rFont val="Times New Roman"/>
        <b/>
        <color rgb="FF000000"/>
        <sz val="12.0"/>
      </rPr>
      <t>Vai trò và trách nhiệm.</t>
    </r>
  </si>
  <si>
    <t>Vai trò</t>
  </si>
  <si>
    <t>A. KHẢO SÁT &amp; YÊU CẦU</t>
  </si>
  <si>
    <t>Họ tên</t>
  </si>
  <si>
    <t>Tổ chức/vị trí</t>
  </si>
  <si>
    <t xml:space="preserve">Liên hệ </t>
  </si>
  <si>
    <t>Organization/Position</t>
  </si>
  <si>
    <t>Contact Information</t>
  </si>
  <si>
    <t>Khách hàng</t>
  </si>
  <si>
    <t>Ban Giám Đốc</t>
  </si>
  <si>
    <t>Trung tâm tư vấn du học Amec</t>
  </si>
  <si>
    <t>contact@amec.edu.vn</t>
  </si>
  <si>
    <t>Người sử dụng</t>
  </si>
  <si>
    <t>Nhân viên &amp; Sinh viên</t>
  </si>
  <si>
    <t>Trung tâm Amec (Tuyển sinh, Hồ sơ, Kế toán) &amp; Du học sinh</t>
  </si>
  <si>
    <t xml:space="preserve">support@amec.edu.vn </t>
  </si>
  <si>
    <t>Giám đốc dự án</t>
  </si>
  <si>
    <t>Trường CNTT&amp;TT - ĐHBK Hà Nội / Giám đốc Dự án</t>
  </si>
  <si>
    <t>phuong.bt240076@sis.hust.edu.vn</t>
  </si>
  <si>
    <t>Khảo sát quy trình tư vấn du học</t>
  </si>
  <si>
    <t>Trưởng nhóm Kỹ thuật (Tech Lead)</t>
  </si>
  <si>
    <t>Nguyễn Đức Hậu</t>
  </si>
  <si>
    <t>hau.nd240049@sis.hust.edu.vn</t>
  </si>
  <si>
    <t>Khảo sát cách trung tâm tiếp nhận nhu cầu, tư vấn quốc gia, trường, ngành học và theo dõi quá trình tư vấn cho du học sinh.</t>
  </si>
  <si>
    <t>Ký tên</t>
  </si>
  <si>
    <t>Báo cáo nghiên cứu</t>
  </si>
  <si>
    <t>01/09/2026-25/09/2026</t>
  </si>
  <si>
    <t>Từ đầu</t>
  </si>
  <si>
    <r>
      <rPr>
        <rFont val="Times New Roman"/>
        <b/>
        <color rgb="FF000000"/>
        <sz val="12.0"/>
      </rPr>
      <t>2.</t>
    </r>
    <r>
      <rPr>
        <rFont val="Times New Roman"/>
        <b/>
        <color rgb="FF000000"/>
        <sz val="12.0"/>
      </rPr>
      <t xml:space="preserve">    </t>
    </r>
    <r>
      <rPr>
        <rFont val="Times New Roman"/>
        <b/>
        <color rgb="FF000000"/>
        <sz val="12.0"/>
      </rPr>
      <t>Công bố dự án</t>
    </r>
  </si>
  <si>
    <t>Quyết định khởi công dự án phần mềm</t>
  </si>
  <si>
    <t>(Số 03 Ngày 31/07/2026)</t>
  </si>
  <si>
    <t>Tên dự án</t>
  </si>
  <si>
    <t>Xây dựng hệ thống quản lý du học sinh bậc đại học của trung tâm tư vấn du học Amec</t>
  </si>
  <si>
    <t>Mã số</t>
  </si>
  <si>
    <t>CNTT20261_N03</t>
  </si>
  <si>
    <t>Chủ đấu tư</t>
  </si>
  <si>
    <t xml:space="preserve">06 tháng (Từ 01/09/2026 đến 31/03/2027)  </t>
  </si>
  <si>
    <t>Quản trị viên</t>
  </si>
  <si>
    <t>Qui mô dự án</t>
  </si>
  <si>
    <t xml:space="preserve">Dự án phần mềm quy mô vừa, ngân sách 1.000.000.000 VNĐ
Gồm 5 thành viên cốt cán đảm nhận các công việc từ khảo sát, phân tích thiết kế, đến phát triển và kiểm thử.  </t>
  </si>
  <si>
    <t>Mục tiêu và các yêu cầu</t>
  </si>
  <si>
    <t>Xây dựng hệ thống web-app quản lý tập trung các quy trình nghiệp vụ du học sinh; đáp ứng đầy đủ các tiêu chuẩn kỹ thuật MVC, bảo mật CSDL, bàn giao đúng hạn ngày 31/03/2027 và tuân thủ ngân sách phê duyệt.</t>
  </si>
  <si>
    <t>Khảo sát quy trình tiếp nhận hồ sơ SV</t>
  </si>
  <si>
    <t>Khảo sát quy trình tiếp nhận, kiểm tra, cập nhật và lưu trữ thông tin hồ sơ của du học sinh.</t>
  </si>
  <si>
    <t>(Ký và ghi rõ tên)</t>
  </si>
  <si>
    <t>Lê Linh Hương</t>
  </si>
  <si>
    <t>Khảo sát quy trình Visa</t>
  </si>
  <si>
    <t>Khảo sát quy trình quản lý hồ sơ Visa, tình trạng Visa, thời hạn Visa và quá trình gia hạn Visa cho du học sinh.</t>
  </si>
  <si>
    <t>Khảo sát học phí, tài chính</t>
  </si>
  <si>
    <t>Khảo sát cách trung tâm quản lý học phí, hóa đơn, các khoản thanh toán và tình trạng tài chính của du học sinh.</t>
  </si>
  <si>
    <t>Tổng hợp hiện trạng</t>
  </si>
  <si>
    <t>Tổng hợp kết quả khảo sát, xác định quy trình hiện tại, các vấn đề còn tồn tại và nhu cầu cần giải quyết bằng hệ thống.</t>
  </si>
  <si>
    <t>Sau Task 4</t>
  </si>
  <si>
    <t>Phân tích yêu cầu hệ thống</t>
  </si>
  <si>
    <t>Phân tích các yêu cầu chức năng và phi chức năng dựa trên quy trình hoạt động và nhu cầu sử dụng của trung tâm.</t>
  </si>
  <si>
    <t>Sau Task 5</t>
  </si>
  <si>
    <t>Trần Thanh Ngân</t>
  </si>
  <si>
    <t>Đặc tả yêu cầu</t>
  </si>
  <si>
    <t>Chuyển các yêu cầu đã phân tích thành tài liệu đặc tả làm cơ sở cho việc phân tích, thiết kế và xây dựng hệ thống.</t>
  </si>
  <si>
    <t>Xác nhận/chỉnh sửa yêu cầu</t>
  </si>
  <si>
    <t>Trao đổi với người dùng, tiếp nhận ý kiến phản hồi và điều chỉnh các yêu cầu để bảo đảm phù hợp với nghiệp vụ.</t>
  </si>
  <si>
    <t>Sau Task 7</t>
  </si>
  <si>
    <t>Chu Quang Hiếu</t>
  </si>
  <si>
    <t>B. PHÂN TÍCH &amp; THIẾT KẾ HỆ THỐNG</t>
  </si>
  <si>
    <t>Xác định Actor hệ thống</t>
  </si>
  <si>
    <t>Xác định các tác nhân tham gia hệ thống như quản trị viên, nhân viên tư vấn và du học sinh.</t>
  </si>
  <si>
    <t>Biểu đồ Lớp chi tiết, Mô hình ERD &amp; Đặc tả các bảng CSDL </t>
  </si>
  <si>
    <t>25/09/2026-24/11/2026</t>
  </si>
  <si>
    <t>Sau Task 8</t>
  </si>
  <si>
    <t>Xác định Use Case</t>
  </si>
  <si>
    <t>Xác định các chức năng mà từng Actor được phép thực hiện trên hệ thống quản lý du học sinh.</t>
  </si>
  <si>
    <t>Vẽ Use Case tổng quát</t>
  </si>
  <si>
    <t>Xây dựng biểu đồ Use Case tổng quát thể hiện Actor, các chức năng và mối quan hệ giữa các chức năng của hệ thống.</t>
  </si>
  <si>
    <t>Đặc tả Use Case</t>
  </si>
  <si>
    <t>Mô tả chi tiết luồng chính, luồng thay thế, điều kiện trước/sau và xử lý của từng Use Case.</t>
  </si>
  <si>
    <t>Sau Task 11</t>
  </si>
  <si>
    <t>Xác định biểu đồ Class</t>
  </si>
  <si>
    <t>Xây dựng mô hình lớp gồm các lớp dữ liệu, thuộc tính, phương thức và mối quan hệ phục vụ hệ thống.</t>
  </si>
  <si>
    <t>Sau Task 12</t>
  </si>
  <si>
    <t>Thiết kế biểu đồ Sequence</t>
  </si>
  <si>
    <t>Mô hình hóa trình tự tương tác giữa người dùng, giao diện và các thành phần hệ thống khi thực hiện chức năng.</t>
  </si>
  <si>
    <t>Thiết kế biểu đồ Activity</t>
  </si>
  <si>
    <t>Mô tả luồng xử lý và các bước hoạt động của những nghiệp vụ chính trong hệ thống.</t>
  </si>
  <si>
    <t>Thiết kế kiến trúc hệ thống</t>
  </si>
  <si>
    <t>Xác định kiến trúc tổng thể, các tầng xử lý và cách các thành phần của hệ thống tương tác với nhau.</t>
  </si>
  <si>
    <t>C. THIẾT KẾ CƠ SỞ DỮ LIỆU &amp; GIAO DIỆN</t>
  </si>
  <si>
    <t>Xác định các bảng dữ liệu</t>
  </si>
  <si>
    <t>Xác định các nhóm dữ liệu cần quản lý như sinh viên, người thân, Visa, trường học, học tập, học bổng và tài chính.</t>
  </si>
  <si>
    <t>25/11/2026-27/12/2026</t>
  </si>
  <si>
    <t>Thiết kế ERD</t>
  </si>
  <si>
    <t>Xây dựng mô hình thực thể – liên kết, xác định khóa và mối quan hệ giữa các đối tượng dữ liệu trong hệ thống.</t>
  </si>
  <si>
    <t>Sau Task 17</t>
  </si>
  <si>
    <t>Thiết kế CSDL SQL Server</t>
  </si>
  <si>
    <t>Thiết kế cấu trúc cơ sở dữ liệu phục vụ việc lưu trữ và quản lý thông tin du học sinh và các nghiệp vụ liên quan.</t>
  </si>
  <si>
    <t>Sau Task 18</t>
  </si>
  <si>
    <t>Tạo bảng, khóa, ràng buộc</t>
  </si>
  <si>
    <t>Xây dựng các bảng dữ liệu, khóa chính, khóa ngoại và các ràng buộc nhằm bảo đảm tính toàn vẹn dữ liệu.</t>
  </si>
  <si>
    <t>Sau Task 19</t>
  </si>
  <si>
    <t>Thiết kế giao diện đăng nhập</t>
  </si>
  <si>
    <t>Thiết kế màn hình đăng nhập, nhập thông tin tài khoản và các thông báo khi đăng nhập không hợp lệ.</t>
  </si>
  <si>
    <t>Thiết kế UI/UX hệ thống </t>
  </si>
  <si>
    <t>Sau Task 20</t>
  </si>
  <si>
    <t>Thiết kế giao diện quản lý SV</t>
  </si>
  <si>
    <t>Thiết kế màn hình thêm, sửa, xóa, xem và tìm kiếm thông tin hồ sơ du học sinh.</t>
  </si>
  <si>
    <t>Thiết kế giao diện Visa/tài chính</t>
  </si>
  <si>
    <t>Thiết kế giao diện quản lý thông tin Visa, thời hạn Visa, học phí, hóa đơn và tình trạng thanh toán.</t>
  </si>
  <si>
    <t>Thiết kế giao diện Dashboard</t>
  </si>
  <si>
    <t>Thiết kế màn hình tổng quan hiển thị các số liệu thống kê về sinh viên, Visa, tài chính và các thông tin cần theo dõi.</t>
  </si>
  <si>
    <t>D. XÂY DỰNG CHƯƠNG TRÌNH</t>
  </si>
  <si>
    <t>Đăng nhập &amp; phân quyền</t>
  </si>
  <si>
    <t>Xây dựng chức năng đăng nhập, xác thực tài khoản và phân quyền truy cập theo vai trò người sử dụng.</t>
  </si>
  <si>
    <t>Prototype UI/UX 1 số màn hình </t>
  </si>
  <si>
    <t>25/12/2026-01/03/2027</t>
  </si>
  <si>
    <t>Quản lý tài khoản nhân viên</t>
  </si>
  <si>
    <t>Xây dựng chức năng tạo, cập nhật, khóa/mở khóa và quản lý tài khoản của nhân viên trung tâm.</t>
  </si>
  <si>
    <t>Quản lý hồ sơ sinh viên</t>
  </si>
  <si>
    <t>Xây dựng chức năng thêm, sửa, xóa, xem và quản lý thông tin cá nhân, liên hệ và hồ sơ của du học sinh.</t>
  </si>
  <si>
    <t>Quản lý người thân</t>
  </si>
  <si>
    <t>Xây dựng chức năng lưu trữ và cập nhật thông tin người thân, mối quan hệ và thông tin liên hệ của du học sinh.</t>
  </si>
  <si>
    <t>Quản lý Visa</t>
  </si>
  <si>
    <t>Xây dựng chức năng quản lý hộ chiếu, loại Visa, ngày cấp, ngày hết hạn, tình trạng và kết quả Visa của du học sinh.</t>
  </si>
  <si>
    <t>Quản lý trường đại học</t>
  </si>
  <si>
    <t>Xây dựng chức năng thêm, sửa, xóa và quản lý thông tin các trường đại học, quốc gia và ngành học liên quan.</t>
  </si>
  <si>
    <t>Tìm kiếm sinh viên</t>
  </si>
  <si>
    <t>Xây dựng chức năng tìm kiếm và tra cứu thông tin du học sinh theo các tiêu chí phù hợp.</t>
  </si>
  <si>
    <t>Tìm kiếm trường đại học</t>
  </si>
  <si>
    <t>Xây dựng chức năng tìm kiếm và tra cứu trường đại học theo quốc gia, trường hoặc các thông tin liên quan.</t>
  </si>
  <si>
    <t>Quản lý hồ sơ học thuật</t>
  </si>
  <si>
    <t>Xây dựng chức năng quản lý thông tin học tập, chương trình học và kết quả học tập của du học sinh.</t>
  </si>
  <si>
    <t>Quản lý GPA</t>
  </si>
  <si>
    <t>Xây dựng chức năng cập nhật GPA, tính toán kết quả và hỗ trợ phân loại kết quả học tập của sinh viên.</t>
  </si>
  <si>
    <t>Quản lý học bổng</t>
  </si>
  <si>
    <t>Xây dựng chức năng quản lý thông tin học bổng, điều kiện, kết quả và tình trạng học bổng của du học sinh.</t>
  </si>
  <si>
    <t>Quản lý tài chính/học phí</t>
  </si>
  <si>
    <t>Xây dựng chức năng quản lý học phí, hóa đơn, các khoản thanh toán và tình trạng thanh toán của du học sinh.</t>
  </si>
  <si>
    <t>Dashboard &amp; thống kê</t>
  </si>
  <si>
    <t>Xây dựng chức năng tổng hợp và hiển thị số liệu thống kê về sinh viên, Visa, học phí và các thông tin quản lý khác.</t>
  </si>
  <si>
    <t>E. TÍCH HỢP &amp; KIỂM THỬ</t>
  </si>
  <si>
    <t>Tích hợp các module</t>
  </si>
  <si>
    <t>Kết nối các module đã xây dựng, bảo đảm dữ liệu và chức năng hoạt động thống nhất trong toàn hệ thống.</t>
  </si>
  <si>
    <t>Báo cáo kiểm thử</t>
  </si>
  <si>
    <t>01/02/2027-15/03/2027</t>
  </si>
  <si>
    <t>Sau Task 37</t>
  </si>
  <si>
    <t>Kiểm thử đăng nhập/phân quyền</t>
  </si>
  <si>
    <t>Kiểm tra chức năng đăng nhập, xác thực tài khoản, phân quyền và khả năng truy cập chức năng theo từng vai trò.</t>
  </si>
  <si>
    <t>Sau Task 25</t>
  </si>
  <si>
    <t>Kiểm thử quản lý sinh viên</t>
  </si>
  <si>
    <t>Kiểm tra các chức năng thêm, sửa, xóa, xem và tìm kiếm hồ sơ du học sinh, đồng thời kiểm tra tính chính xác của dữ liệu.</t>
  </si>
  <si>
    <t>Sau Task 28</t>
  </si>
  <si>
    <t>Kiểm thử Visa/học thuật</t>
  </si>
  <si>
    <t>Kiểm tra chức năng quản lý Visa, thời hạn Visa, hồ sơ học thuật và cập nhật kết quả học tập.</t>
  </si>
  <si>
    <t>Sau Task 34</t>
  </si>
  <si>
    <t>Kiểm thử tài chính/học bổng</t>
  </si>
  <si>
    <t>Kiểm tra chức năng quản lý học phí, hóa đơn, trạng thái thanh toán và thông tin học bổng.</t>
  </si>
  <si>
    <t>Sau Task 36</t>
  </si>
  <si>
    <t>Kiểm thử Dashboard</t>
  </si>
  <si>
    <t>Kiểm tra số liệu, bộ lọc và nội dung hiển thị trên Dashboard, bảo đảm số liệu thống kê chính xác với dữ liệu thực tế.</t>
  </si>
  <si>
    <t>Kiểm thử toàn hệ thống</t>
  </si>
  <si>
    <t>Thực hiện kiểm thử tổng thể các chức năng và luồng nghiệp vụ nhằm phát hiện lỗi khi các module hoạt động cùng nhau.</t>
  </si>
  <si>
    <t>Sau Task 38</t>
  </si>
  <si>
    <t>Sửa lỗi &amp; hoàn thiện</t>
  </si>
  <si>
    <t>Phân tích nguyên nhân, sửa các lỗi phát hiện trong quá trình kiểm thử và hoàn thiện hệ thống trước khi nghiệm thu.</t>
  </si>
  <si>
    <t>Sau Task 44</t>
  </si>
  <si>
    <t>F. TRIỂN KHAI &amp; BÀN GIAO</t>
  </si>
  <si>
    <t>Chuẩn bị môi trường triển khai</t>
  </si>
  <si>
    <t>Chuẩn bị máy chủ, cơ sở dữ liệu, cấu hình ứng dụng và các thành phần cần thiết để triển khai hệ thống.</t>
  </si>
  <si>
    <t>Báo cáo hệ thống</t>
  </si>
  <si>
    <t>15/03/2027-31/03/2027</t>
  </si>
  <si>
    <t>Sau Task 45</t>
  </si>
  <si>
    <t>Triển khai hệ thống</t>
  </si>
  <si>
    <t>Cài đặt và đưa hệ thống quản lý du học sinh Amec vào môi trường sử dụng thực tế.</t>
  </si>
  <si>
    <t>Biên bản nghiệm thu</t>
  </si>
  <si>
    <t>Sau Task 46</t>
  </si>
  <si>
    <t>Viết tài liệu hướng dẫn</t>
  </si>
  <si>
    <t>Xây dựng tài liệu hướng dẫn cài đặt, đăng nhập và sử dụng các chức năng chính của hệ thống.</t>
  </si>
  <si>
    <t>Tài liệu hướng dẫn</t>
  </si>
  <si>
    <t>Sau Task 47</t>
  </si>
  <si>
    <t>Báo cáo nghiệm thu</t>
  </si>
  <si>
    <t>Tổng hợp kết quả thực hiện, kết quả kiểm thử và lập báo cáo phục vụ quá trình nghiệm thu hệ thống.</t>
  </si>
  <si>
    <t>Sau Task 48</t>
  </si>
  <si>
    <t>Đào tạo nhân lực sử dụng chương trình</t>
  </si>
  <si>
    <t>Hướng dẫn nhân viên sử dụng hệ thống, giải thích các chức năng chính và hỗ trợ người dùng trong quá trình tiếp nhận hệ thống.</t>
  </si>
  <si>
    <t>Xác nhận bàn giao</t>
  </si>
  <si>
    <t>Sau Task 49</t>
  </si>
  <si>
    <t>Tổng</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</si>
</sst>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Verdana"/>
      <scheme val="minor"/>
    </font>
    <font>
      <b/>
      <color rgb="FFFFFFFF"/>
      <name val="Times New Roman"/>
    </font>
    <font>
      <b/>
      <sz val="11.0"/>
      <color rgb="FFFFFFFF"/>
      <name val="Times New Roman"/>
    </font>
    <font>
      <b/>
      <sz val="12.0"/>
      <color rgb="FF000000"/>
      <name val="Times New Roman"/>
    </font>
    <font>
      <sz val="12.0"/>
      <color theme="1"/>
      <name val="Verdana"/>
      <scheme val="minor"/>
    </font>
    <font>
      <sz val="12.0"/>
      <color theme="1"/>
      <name val="Arial"/>
    </font>
    <font>
      <color theme="1"/>
      <name val="Times New Roman"/>
    </font>
    <font>
      <color rgb="FF005975"/>
      <name val="Times New Roman"/>
    </font>
    <font/>
    <font>
      <b/>
      <sz val="11.0"/>
      <color theme="1"/>
      <name val="Times New Roman"/>
    </font>
    <font>
      <sz val="12.0"/>
      <color rgb="FF000000"/>
      <name val="Times New Roman"/>
    </font>
    <font>
      <sz val="11.0"/>
      <color rgb="FFFFFFFF"/>
      <name val="Times New Roman"/>
    </font>
    <font>
      <sz val="11.0"/>
      <color theme="1"/>
      <name val="Times New Roman"/>
    </font>
    <font>
      <sz val="12.0"/>
      <color rgb="FF0091DE"/>
      <name val="Calibri"/>
    </font>
    <font>
      <sz val="11.0"/>
      <color rgb="FF005975"/>
      <name val="Times New Roman"/>
    </font>
    <font>
      <b/>
      <color rgb="FF005975"/>
      <name val="Times New Roman"/>
    </font>
    <font>
      <b/>
      <sz val="11.0"/>
      <color rgb="FF005975"/>
      <name val="Times New Roman"/>
    </font>
  </fonts>
  <fills count="4">
    <fill>
      <patternFill patternType="none"/>
    </fill>
    <fill>
      <patternFill patternType="lightGray"/>
    </fill>
    <fill>
      <patternFill patternType="solid">
        <fgColor rgb="FF0B5394"/>
        <bgColor rgb="FF0B5394"/>
      </patternFill>
    </fill>
    <fill>
      <patternFill patternType="solid">
        <fgColor rgb="FF3D85C6"/>
        <bgColor rgb="FF3D85C6"/>
      </patternFill>
    </fill>
  </fills>
  <borders count="55">
    <border/>
    <border>
      <left style="medium">
        <color rgb="FF000000"/>
      </left>
      <right style="dotted">
        <color rgb="FF000000"/>
      </right>
      <top style="medium">
        <color rgb="FF000000"/>
      </top>
      <bottom style="dotted">
        <color rgb="FF000000"/>
      </bottom>
    </border>
    <border>
      <left style="thin">
        <color rgb="FF6FA8DC"/>
      </left>
      <right style="thin">
        <color rgb="FF6FA8DC"/>
      </right>
      <top style="medium">
        <color rgb="FF000000"/>
      </top>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bottom style="thin">
        <color rgb="FFFFFFFF"/>
      </bottom>
    </border>
    <border>
      <left style="medium">
        <color rgb="FF000000"/>
      </left>
      <right style="dotted">
        <color rgb="FF000000"/>
      </right>
      <top style="dotted">
        <color rgb="FF000000"/>
      </top>
      <bottom style="dotted">
        <color rgb="FF000000"/>
      </bottom>
    </border>
    <border>
      <left style="thin">
        <color rgb="FF6FA8DC"/>
      </left>
      <top style="medium">
        <color rgb="FF000000"/>
      </top>
      <bottom style="thin">
        <color rgb="FF6FA8DC"/>
      </bottom>
    </border>
    <border>
      <top style="medium">
        <color rgb="FF000000"/>
      </top>
      <bottom style="thin">
        <color rgb="FF6FA8DC"/>
      </bottom>
    </border>
    <border>
      <right style="medium">
        <color rgb="FF000000"/>
      </right>
      <top style="medium">
        <color rgb="FF000000"/>
      </top>
      <bottom style="thin">
        <color rgb="FF6FA8DC"/>
      </bottom>
    </border>
    <border>
      <right style="dotted">
        <color rgb="FFFFFFFF"/>
      </right>
      <bottom style="dotted">
        <color rgb="FFFFFFFF"/>
      </bottom>
    </border>
    <border>
      <left style="dotted">
        <color rgb="FFFFFFFF"/>
      </left>
      <bottom style="dotted">
        <color rgb="FFFFFFFF"/>
      </bottom>
    </border>
    <border>
      <left style="thin">
        <color rgb="FF6FA8DC"/>
      </left>
      <right style="thin">
        <color rgb="FF6FA8DC"/>
      </right>
    </border>
    <border>
      <left style="thin">
        <color rgb="FF6FA8DC"/>
      </left>
      <right style="thin">
        <color rgb="FF6FA8DC"/>
      </right>
      <top style="thin">
        <color rgb="FF6FA8DC"/>
      </top>
    </border>
    <border>
      <left style="dotted">
        <color rgb="FF000000"/>
      </left>
      <right style="dotted">
        <color rgb="FF000000"/>
      </right>
      <top style="dotted">
        <color rgb="FF000000"/>
      </top>
      <bottom style="dotted">
        <color rgb="FF000000"/>
      </bottom>
    </border>
    <border>
      <left style="thin">
        <color rgb="FF6FA8DC"/>
      </left>
      <right style="thin">
        <color rgb="FF6FA8DC"/>
      </right>
      <top style="thin">
        <color rgb="FF6FA8DC"/>
      </top>
      <bottom style="thin">
        <color rgb="FF6FA8DC"/>
      </bottom>
    </border>
    <border>
      <left style="thin">
        <color rgb="FF6FA8DC"/>
      </left>
      <right style="medium">
        <color rgb="FF000000"/>
      </right>
      <top style="thin">
        <color rgb="FF6FA8DC"/>
      </top>
    </border>
    <border>
      <right style="dotted">
        <color rgb="FFFFFFFF"/>
      </right>
      <top style="dotted">
        <color rgb="FFFFFFFF"/>
      </top>
      <bottom style="dotted">
        <color rgb="FFFFFFFF"/>
      </bottom>
    </border>
    <border>
      <left style="dotted">
        <color rgb="FFFFFFFF"/>
      </left>
      <top style="dotted">
        <color rgb="FFFFFFFF"/>
      </top>
      <bottom style="dotted">
        <color rgb="FFFFFFFF"/>
      </bottom>
    </border>
    <border>
      <left style="thin">
        <color rgb="FF6FA8DC"/>
      </left>
      <right style="thin">
        <color rgb="FF6FA8DC"/>
      </right>
      <bottom style="thin">
        <color rgb="FF6FA8DC"/>
      </bottom>
    </border>
    <border>
      <left style="thin">
        <color rgb="FF6FA8DC"/>
      </left>
      <right style="thin">
        <color rgb="FF6FA8DC"/>
      </right>
      <top style="thin">
        <color rgb="FF6FA8DC"/>
      </top>
      <bottom style="dotted">
        <color rgb="FF000000"/>
      </bottom>
    </border>
    <border>
      <left style="thin">
        <color rgb="FF6FA8DC"/>
      </left>
      <right style="medium">
        <color rgb="FF000000"/>
      </right>
    </border>
    <border>
      <left style="thin">
        <color rgb="FF000000"/>
      </left>
      <right style="thin">
        <color rgb="FF000000"/>
      </right>
      <top style="thin">
        <color rgb="FF000000"/>
      </top>
    </border>
    <border>
      <left style="medium">
        <color rgb="FF000000"/>
      </left>
      <top style="thin">
        <color rgb="FF6FA8DC"/>
      </top>
      <bottom style="dotted">
        <color rgb="FF000000"/>
      </bottom>
    </border>
    <border>
      <top style="thin">
        <color rgb="FF6FA8DC"/>
      </top>
      <bottom style="dotted">
        <color rgb="FF000000"/>
      </bottom>
    </border>
    <border>
      <left style="thin">
        <color rgb="FF000000"/>
      </left>
      <right style="thin">
        <color rgb="FF000000"/>
      </right>
      <top style="thin">
        <color rgb="FF000000"/>
      </top>
      <bottom style="thin">
        <color rgb="FF000000"/>
      </bottom>
    </border>
    <border>
      <right style="thin">
        <color rgb="FF6FA8DC"/>
      </right>
      <top style="thin">
        <color rgb="FF6FA8DC"/>
      </top>
      <bottom style="dotted">
        <color rgb="FF000000"/>
      </bottom>
    </border>
    <border>
      <left style="thin">
        <color rgb="FF000000"/>
      </left>
      <right style="thin">
        <color rgb="FF000000"/>
      </right>
      <bottom style="thin">
        <color rgb="FF000000"/>
      </bottom>
    </border>
    <border>
      <left style="dotted">
        <color rgb="FF000000"/>
      </left>
      <right style="medium">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left style="dotted">
        <color rgb="FF000000"/>
      </left>
      <right style="dotted">
        <color rgb="FF000000"/>
      </right>
      <top style="dotted">
        <color rgb="FF000000"/>
      </top>
    </border>
    <border>
      <right style="thin">
        <color rgb="FF000000"/>
      </right>
      <top style="thin">
        <color rgb="FF000000"/>
      </top>
      <bottom style="thin">
        <color rgb="FF000000"/>
      </bottom>
    </border>
    <border>
      <top style="thin">
        <color rgb="FFFFFFFF"/>
      </top>
      <bottom style="thin">
        <color rgb="FFFFFFFF"/>
      </bottom>
    </border>
    <border>
      <left style="dotted">
        <color rgb="FF000000"/>
      </left>
      <right style="dotted">
        <color rgb="FF000000"/>
      </right>
    </border>
    <border>
      <left style="dotted">
        <color rgb="FF000000"/>
      </left>
      <right style="dotted">
        <color rgb="FF000000"/>
      </right>
      <bottom style="dotted">
        <color rgb="FF000000"/>
      </bottom>
    </border>
    <border>
      <left style="medium">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left style="medium">
        <color rgb="FF000000"/>
      </left>
      <top style="dotted">
        <color rgb="FF000000"/>
      </top>
      <bottom style="medium">
        <color rgb="FF000000"/>
      </bottom>
    </border>
    <border>
      <top style="dotted">
        <color rgb="FF000000"/>
      </top>
      <bottom style="medium">
        <color rgb="FF000000"/>
      </bottom>
    </border>
    <border>
      <right style="dotted">
        <color rgb="FF000000"/>
      </right>
      <top style="dotted">
        <color rgb="FF000000"/>
      </top>
      <bottom style="medium">
        <color rgb="FF000000"/>
      </bottom>
    </border>
    <border>
      <left style="dotted">
        <color rgb="FFFFFFFF"/>
      </left>
      <right style="dotted">
        <color rgb="FFFFFFFF"/>
      </right>
      <top style="dotted">
        <color rgb="FFFFFFFF"/>
      </top>
      <bottom style="dotted">
        <color rgb="FFFFFFFF"/>
      </bottom>
    </border>
    <border>
      <right style="dotted">
        <color rgb="FFFFFFFF"/>
      </right>
      <top style="dotted">
        <color rgb="FFFFFFFF"/>
      </top>
    </border>
    <border>
      <left style="dotted">
        <color rgb="FFFFFFFF"/>
      </left>
      <right style="dotted">
        <color rgb="FFFFFFFF"/>
      </right>
      <top style="dotted">
        <color rgb="FFFFFFFF"/>
      </top>
    </border>
    <border>
      <left style="dotted">
        <color rgb="FFFFFFFF"/>
      </left>
      <top style="dotted">
        <color rgb="FFFFFFFF"/>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ill="1" applyFont="1">
      <alignment horizontal="center" shrinkToFit="0" vertical="center" wrapText="1"/>
    </xf>
    <xf borderId="0" fillId="0" fontId="3" numFmtId="0" xfId="0" applyAlignment="1" applyFont="1">
      <alignment vertical="center"/>
    </xf>
    <xf borderId="3" fillId="2" fontId="1" numFmtId="0" xfId="0" applyAlignment="1" applyBorder="1" applyFill="1" applyFont="1">
      <alignment vertical="bottom"/>
    </xf>
    <xf borderId="0" fillId="0" fontId="4" numFmtId="0" xfId="0" applyFont="1"/>
    <xf borderId="3" fillId="2" fontId="1" numFmtId="0" xfId="0" applyAlignment="1" applyBorder="1" applyFill="1" applyFont="1">
      <alignment vertical="bottom"/>
    </xf>
    <xf borderId="2" fillId="2" fontId="2" numFmtId="0" xfId="0" applyAlignment="1" applyBorder="1" applyFill="1" applyFont="1">
      <alignment horizontal="center" readingOrder="0" shrinkToFit="0" vertical="center" wrapText="1"/>
    </xf>
    <xf borderId="0" fillId="0" fontId="5" numFmtId="0" xfId="0" applyAlignment="1" applyFont="1">
      <alignment vertical="center"/>
    </xf>
    <xf borderId="4" fillId="2" fontId="1" numFmtId="0" xfId="0" applyAlignment="1" applyBorder="1" applyFill="1" applyFont="1">
      <alignment vertical="bottom"/>
    </xf>
    <xf borderId="5" fillId="0" fontId="6" numFmtId="0" xfId="0" applyBorder="1" applyFont="1"/>
    <xf borderId="6" fillId="0" fontId="7" numFmtId="0" xfId="0" applyAlignment="1" applyBorder="1" applyFont="1">
      <alignment vertical="bottom"/>
    </xf>
    <xf borderId="7" fillId="2" fontId="2" numFmtId="0" xfId="0" applyAlignment="1" applyBorder="1" applyFill="1" applyFont="1">
      <alignment horizontal="center" vertical="center"/>
    </xf>
    <xf borderId="0" fillId="0" fontId="3" numFmtId="0" xfId="0" applyAlignment="1" applyFont="1">
      <alignment horizontal="left" vertical="center"/>
    </xf>
    <xf borderId="8" fillId="0" fontId="8" numFmtId="0" xfId="0" applyBorder="1" applyFont="1"/>
    <xf borderId="9" fillId="0" fontId="8" numFmtId="0" xfId="0" applyBorder="1" applyFont="1"/>
    <xf borderId="10" fillId="0" fontId="9" numFmtId="0" xfId="0" applyAlignment="1" applyBorder="1" applyFont="1">
      <alignment vertical="center"/>
    </xf>
    <xf borderId="0" fillId="0" fontId="10" numFmtId="0" xfId="0" applyAlignment="1" applyFont="1">
      <alignment readingOrder="0" shrinkToFit="0" vertical="center" wrapText="1"/>
    </xf>
    <xf borderId="11" fillId="0" fontId="9" numFmtId="0" xfId="0" applyAlignment="1" applyBorder="1" applyFont="1">
      <alignment vertical="center"/>
    </xf>
    <xf borderId="12" fillId="0" fontId="8" numFmtId="0" xfId="0" applyBorder="1" applyFont="1"/>
    <xf borderId="13" fillId="2" fontId="2" numFmtId="0" xfId="0" applyAlignment="1" applyBorder="1" applyFill="1" applyFont="1">
      <alignment horizontal="center" shrinkToFit="0" vertical="center" wrapText="1"/>
    </xf>
    <xf borderId="0" fillId="0" fontId="3" numFmtId="0" xfId="0" applyAlignment="1" applyFont="1">
      <alignment readingOrder="0" shrinkToFit="0" vertical="center" wrapText="1"/>
    </xf>
    <xf borderId="14" fillId="0" fontId="7" numFmtId="4" xfId="0" applyAlignment="1" applyBorder="1" applyFont="1" applyNumberFormat="1">
      <alignment horizontal="right" vertical="bottom"/>
    </xf>
    <xf borderId="15" fillId="2" fontId="2" numFmtId="0" xfId="0" applyAlignment="1" applyBorder="1" applyFill="1" applyFont="1">
      <alignment horizontal="center" shrinkToFit="0" vertical="center" wrapText="1"/>
    </xf>
    <xf borderId="16" fillId="2" fontId="2" numFmtId="0" xfId="0" applyAlignment="1" applyBorder="1" applyFill="1" applyFont="1">
      <alignment horizontal="center" shrinkToFit="0" vertical="center" wrapText="1"/>
    </xf>
    <xf borderId="17" fillId="0" fontId="9" numFmtId="9" xfId="0" applyAlignment="1" applyBorder="1" applyFont="1" applyNumberFormat="1">
      <alignment vertical="center"/>
    </xf>
    <xf borderId="18" fillId="0" fontId="9" numFmtId="0" xfId="0" applyAlignment="1" applyBorder="1" applyFont="1">
      <alignment vertical="center"/>
    </xf>
    <xf borderId="19" fillId="0" fontId="8" numFmtId="0" xfId="0" applyBorder="1" applyFont="1"/>
    <xf borderId="0" fillId="0" fontId="10" numFmtId="0" xfId="0" applyAlignment="1" applyFont="1">
      <alignment shrinkToFit="0" vertical="center" wrapText="1"/>
    </xf>
    <xf borderId="20" fillId="2" fontId="11" numFmtId="9" xfId="0" applyAlignment="1" applyBorder="1" applyFill="1" applyFont="1" applyNumberFormat="1">
      <alignment horizontal="center" shrinkToFit="0" vertical="center" wrapText="1"/>
    </xf>
    <xf borderId="21" fillId="0" fontId="8" numFmtId="0" xfId="0" applyBorder="1" applyFont="1"/>
    <xf borderId="17" fillId="0" fontId="9" numFmtId="0" xfId="0" applyAlignment="1" applyBorder="1" applyFont="1">
      <alignment vertical="center"/>
    </xf>
    <xf borderId="22" fillId="0" fontId="3" numFmtId="0" xfId="0" applyAlignment="1" applyBorder="1" applyFont="1">
      <alignment shrinkToFit="0" vertical="center" wrapText="1"/>
    </xf>
    <xf borderId="23" fillId="3" fontId="2" numFmtId="0" xfId="0" applyAlignment="1" applyBorder="1" applyFill="1" applyFont="1">
      <alignment shrinkToFit="0" vertical="center" wrapText="1"/>
    </xf>
    <xf borderId="24" fillId="0" fontId="8" numFmtId="0" xfId="0" applyBorder="1" applyFont="1"/>
    <xf borderId="25" fillId="0" fontId="3" numFmtId="0" xfId="0" applyAlignment="1" applyBorder="1" applyFont="1">
      <alignment shrinkToFit="0" vertical="center" wrapText="1"/>
    </xf>
    <xf borderId="26" fillId="0" fontId="8" numFmtId="0" xfId="0" applyBorder="1" applyFont="1"/>
    <xf borderId="27" fillId="0" fontId="8" numFmtId="0" xfId="0" applyBorder="1" applyFont="1"/>
    <xf borderId="14" fillId="0" fontId="12" numFmtId="0" xfId="0" applyAlignment="1" applyBorder="1" applyFont="1">
      <alignment vertical="center"/>
    </xf>
    <xf borderId="25" fillId="0" fontId="10" numFmtId="0" xfId="0" applyAlignment="1" applyBorder="1" applyFont="1">
      <alignment horizontal="left" readingOrder="0" shrinkToFit="0" vertical="center" wrapText="1"/>
    </xf>
    <xf borderId="14" fillId="0" fontId="12" numFmtId="2" xfId="0" applyAlignment="1" applyBorder="1" applyFont="1" applyNumberFormat="1">
      <alignment vertical="center"/>
    </xf>
    <xf borderId="22" fillId="0" fontId="10" numFmtId="0" xfId="0" applyAlignment="1" applyBorder="1" applyFont="1">
      <alignment horizontal="left" readingOrder="0" shrinkToFit="0" vertical="center" wrapText="1"/>
    </xf>
    <xf borderId="28" fillId="0" fontId="12" numFmtId="2" xfId="0" applyAlignment="1" applyBorder="1" applyFont="1" applyNumberFormat="1">
      <alignment vertical="center"/>
    </xf>
    <xf borderId="17" fillId="0" fontId="12" numFmtId="2" xfId="0" applyAlignment="1" applyBorder="1" applyFont="1" applyNumberFormat="1">
      <alignment vertical="center"/>
    </xf>
    <xf borderId="25" fillId="0" fontId="13" numFmtId="0" xfId="0" applyAlignment="1" applyBorder="1" applyFont="1">
      <alignment horizontal="left" readingOrder="0" shrinkToFit="0" vertical="center" wrapText="1"/>
    </xf>
    <xf borderId="18" fillId="0" fontId="12" numFmtId="2" xfId="0" applyAlignment="1" applyBorder="1" applyFont="1" applyNumberFormat="1">
      <alignment vertical="center"/>
    </xf>
    <xf borderId="25" fillId="0" fontId="10" numFmtId="0" xfId="0" applyAlignment="1" applyBorder="1" applyFont="1">
      <alignment horizontal="left" shrinkToFit="0" vertical="center" wrapText="1"/>
    </xf>
    <xf borderId="6" fillId="0" fontId="14" numFmtId="0" xfId="0" applyAlignment="1" applyBorder="1" applyFont="1">
      <alignment horizontal="right" shrinkToFit="0" vertical="center" wrapText="1"/>
    </xf>
    <xf borderId="14" fillId="0" fontId="14" numFmtId="0" xfId="0" applyAlignment="1" applyBorder="1" applyFont="1">
      <alignment shrinkToFit="0" vertical="center" wrapText="1"/>
    </xf>
    <xf borderId="14" fillId="0" fontId="12" numFmtId="0" xfId="0" applyAlignment="1" applyBorder="1" applyFont="1">
      <alignment shrinkToFit="0" vertical="center" wrapText="1"/>
    </xf>
    <xf borderId="29" fillId="0" fontId="10" numFmtId="0" xfId="0" applyAlignment="1" applyBorder="1" applyFont="1">
      <alignment horizontal="left" shrinkToFit="0" vertical="center" wrapText="1"/>
    </xf>
    <xf borderId="30" fillId="0" fontId="8" numFmtId="0" xfId="0" applyBorder="1" applyFont="1"/>
    <xf borderId="31" fillId="0" fontId="12" numFmtId="0" xfId="0" applyAlignment="1" applyBorder="1" applyFont="1">
      <alignment shrinkToFit="0" vertical="center" wrapText="1"/>
    </xf>
    <xf borderId="32" fillId="0" fontId="8" numFmtId="0" xfId="0" applyBorder="1" applyFont="1"/>
    <xf borderId="28" fillId="0" fontId="15" numFmtId="4" xfId="0" applyAlignment="1" applyBorder="1" applyFont="1" applyNumberFormat="1">
      <alignment horizontal="right" vertical="bottom"/>
    </xf>
    <xf borderId="14" fillId="0" fontId="14" numFmtId="0" xfId="0" applyAlignment="1" applyBorder="1" applyFont="1">
      <alignment horizontal="right" readingOrder="0" shrinkToFit="0" vertical="center" wrapText="1"/>
    </xf>
    <xf borderId="33" fillId="0" fontId="6" numFmtId="0" xfId="0" applyBorder="1" applyFont="1"/>
    <xf borderId="0" fillId="0" fontId="3" numFmtId="0" xfId="0" applyAlignment="1" applyFont="1">
      <alignment horizontal="center" vertical="center"/>
    </xf>
    <xf borderId="0" fillId="0" fontId="10" numFmtId="0" xfId="0" applyAlignment="1" applyFont="1">
      <alignment horizontal="right" readingOrder="0" vertical="center"/>
    </xf>
    <xf borderId="29" fillId="0" fontId="10" numFmtId="0" xfId="0" applyAlignment="1" applyBorder="1" applyFont="1">
      <alignment horizontal="left" readingOrder="0" shrinkToFit="0" vertical="center" wrapText="1"/>
    </xf>
    <xf borderId="14" fillId="0" fontId="14" numFmtId="2" xfId="0" applyAlignment="1" applyBorder="1" applyFont="1" applyNumberFormat="1">
      <alignment horizontal="right" readingOrder="0" shrinkToFit="0" vertical="center" wrapText="1"/>
    </xf>
    <xf borderId="28" fillId="0" fontId="14" numFmtId="2" xfId="0" applyAlignment="1" applyBorder="1" applyFont="1" applyNumberFormat="1">
      <alignment horizontal="right" readingOrder="0" shrinkToFit="0" vertical="center" wrapText="1"/>
    </xf>
    <xf borderId="0" fillId="0" fontId="10" numFmtId="0" xfId="0" applyAlignment="1" applyFont="1">
      <alignment horizontal="left" vertical="center"/>
    </xf>
    <xf borderId="34" fillId="0" fontId="8" numFmtId="0" xfId="0" applyBorder="1" applyFont="1"/>
    <xf borderId="0" fillId="0" fontId="10" numFmtId="0" xfId="0" applyAlignment="1" applyFont="1">
      <alignment horizontal="center" readingOrder="0" vertical="center"/>
    </xf>
    <xf borderId="35" fillId="0" fontId="8" numFmtId="0" xfId="0" applyBorder="1" applyFont="1"/>
    <xf borderId="36" fillId="3" fontId="2" numFmtId="0" xfId="0" applyAlignment="1" applyBorder="1" applyFill="1" applyFont="1">
      <alignment shrinkToFit="0" vertical="center" wrapText="1"/>
    </xf>
    <xf borderId="37" fillId="0" fontId="8" numFmtId="0" xfId="0" applyBorder="1" applyFont="1"/>
    <xf borderId="38" fillId="0" fontId="8" numFmtId="0" xfId="0" applyBorder="1" applyFont="1"/>
    <xf borderId="14" fillId="0" fontId="12" numFmtId="0" xfId="0" applyAlignment="1" applyBorder="1" applyFont="1">
      <alignment vertical="center"/>
    </xf>
    <xf borderId="39" fillId="0" fontId="7" numFmtId="0" xfId="0" applyAlignment="1" applyBorder="1" applyFont="1">
      <alignment vertical="bottom"/>
    </xf>
    <xf borderId="40" fillId="0" fontId="7" numFmtId="4" xfId="0" applyAlignment="1" applyBorder="1" applyFont="1" applyNumberFormat="1">
      <alignment horizontal="right" vertical="bottom"/>
    </xf>
    <xf borderId="41" fillId="0" fontId="15" numFmtId="4" xfId="0" applyAlignment="1" applyBorder="1" applyFont="1" applyNumberFormat="1">
      <alignment horizontal="right" vertical="bottom"/>
    </xf>
    <xf borderId="42" fillId="0" fontId="6" numFmtId="0" xfId="0" applyBorder="1" applyFont="1"/>
    <xf borderId="43" fillId="0" fontId="6" numFmtId="0" xfId="0" applyBorder="1" applyFont="1"/>
    <xf borderId="44" fillId="0" fontId="6" numFmtId="0" xfId="0" applyBorder="1" applyFont="1"/>
    <xf borderId="45" fillId="0" fontId="6" numFmtId="0" xfId="0" applyBorder="1" applyFont="1"/>
    <xf borderId="46" fillId="0" fontId="6" numFmtId="0" xfId="0" applyBorder="1" applyFont="1"/>
    <xf borderId="47" fillId="0" fontId="6" numFmtId="0" xfId="0" applyBorder="1" applyFont="1"/>
    <xf borderId="14" fillId="0" fontId="12" numFmtId="0" xfId="0" applyAlignment="1" applyBorder="1" applyFont="1">
      <alignment horizontal="left" readingOrder="1" shrinkToFit="0" vertical="center" wrapText="1"/>
    </xf>
    <xf borderId="31" fillId="0" fontId="14" numFmtId="0" xfId="0" applyAlignment="1" applyBorder="1" applyFont="1">
      <alignment readingOrder="0" shrinkToFit="0" vertical="center" wrapText="1"/>
    </xf>
    <xf borderId="14" fillId="0" fontId="14" numFmtId="0" xfId="0" applyAlignment="1" applyBorder="1" applyFont="1">
      <alignment readingOrder="0" shrinkToFit="0" vertical="center" wrapText="1"/>
    </xf>
    <xf borderId="38" fillId="0" fontId="14" numFmtId="0" xfId="0" applyAlignment="1" applyBorder="1" applyFont="1">
      <alignment readingOrder="0" shrinkToFit="0" vertical="center" wrapText="1"/>
    </xf>
    <xf borderId="40" fillId="0" fontId="12" numFmtId="0" xfId="0" applyAlignment="1" applyBorder="1" applyFont="1">
      <alignment shrinkToFit="0" vertical="center" wrapText="1"/>
    </xf>
    <xf borderId="48" fillId="2" fontId="2" numFmtId="0" xfId="0" applyAlignment="1" applyBorder="1" applyFill="1" applyFont="1">
      <alignment horizontal="right" shrinkToFit="0" vertical="center" wrapText="1"/>
    </xf>
    <xf borderId="49" fillId="0" fontId="8" numFmtId="0" xfId="0" applyBorder="1" applyFont="1"/>
    <xf borderId="50" fillId="0" fontId="8" numFmtId="0" xfId="0" applyBorder="1" applyFont="1"/>
    <xf borderId="40" fillId="0" fontId="16" numFmtId="0" xfId="0" applyAlignment="1" applyBorder="1" applyFont="1">
      <alignment horizontal="right" shrinkToFit="0" vertical="center" wrapText="1"/>
    </xf>
    <xf borderId="40" fillId="0" fontId="16" numFmtId="2" xfId="0" applyAlignment="1" applyBorder="1" applyFont="1" applyNumberFormat="1">
      <alignment horizontal="right" shrinkToFit="0" vertical="center" wrapText="1"/>
    </xf>
    <xf borderId="41" fillId="0" fontId="16" numFmtId="2" xfId="0" applyAlignment="1" applyBorder="1" applyFont="1" applyNumberFormat="1">
      <alignment horizontal="right" shrinkToFit="0" vertical="center" wrapText="1"/>
    </xf>
    <xf borderId="17" fillId="0" fontId="12" numFmtId="0" xfId="0" applyAlignment="1" applyBorder="1" applyFont="1">
      <alignment vertical="center"/>
    </xf>
    <xf borderId="51" fillId="0" fontId="12" numFmtId="0" xfId="0" applyAlignment="1" applyBorder="1" applyFont="1">
      <alignment vertical="center"/>
    </xf>
    <xf borderId="18" fillId="0" fontId="12" numFmtId="0" xfId="0" applyAlignment="1" applyBorder="1" applyFont="1">
      <alignment vertical="center"/>
    </xf>
    <xf borderId="52" fillId="0" fontId="12" numFmtId="0" xfId="0" applyAlignment="1" applyBorder="1" applyFont="1">
      <alignment vertical="center"/>
    </xf>
    <xf borderId="53" fillId="0" fontId="12" numFmtId="0" xfId="0" applyAlignment="1" applyBorder="1" applyFont="1">
      <alignment vertical="center"/>
    </xf>
    <xf borderId="54" fillId="0" fontId="1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1.22" defaultRowHeight="15.0"/>
  <cols>
    <col customWidth="1" min="1" max="1" width="4.56"/>
    <col customWidth="1" min="2" max="2" width="27.33"/>
    <col customWidth="1" min="3" max="3" width="41.22"/>
    <col customWidth="1" min="4" max="4" width="13.89"/>
    <col customWidth="1" min="5" max="6" width="16.22"/>
    <col customWidth="1" min="7" max="7" width="15.89"/>
    <col customWidth="1" min="8" max="13" width="10.33"/>
  </cols>
  <sheetData>
    <row r="1">
      <c r="A1" s="2" t="s">
        <v>0</v>
      </c>
      <c r="B1" s="2" t="s">
        <v>4</v>
      </c>
      <c r="C1" s="2" t="s">
        <v>5</v>
      </c>
      <c r="D1" s="7" t="s">
        <v>7</v>
      </c>
      <c r="E1" s="7" t="s">
        <v>13</v>
      </c>
      <c r="F1" s="7" t="s">
        <v>15</v>
      </c>
      <c r="G1" s="2" t="s">
        <v>16</v>
      </c>
      <c r="H1" s="12" t="s">
        <v>19</v>
      </c>
      <c r="I1" s="14"/>
      <c r="J1" s="14"/>
      <c r="K1" s="14"/>
      <c r="L1" s="14"/>
      <c r="M1" s="15"/>
      <c r="N1" s="16"/>
      <c r="O1" s="18"/>
    </row>
    <row r="2">
      <c r="A2" s="19"/>
      <c r="B2" s="19"/>
      <c r="C2" s="19"/>
      <c r="D2" s="19"/>
      <c r="E2" s="19"/>
      <c r="F2" s="19"/>
      <c r="G2" s="19"/>
      <c r="H2" s="20" t="s">
        <v>23</v>
      </c>
      <c r="I2" s="20" t="s">
        <v>25</v>
      </c>
      <c r="J2" s="20" t="s">
        <v>27</v>
      </c>
      <c r="K2" s="20" t="s">
        <v>29</v>
      </c>
      <c r="L2" s="23" t="s">
        <v>31</v>
      </c>
      <c r="M2" s="24" t="s">
        <v>32</v>
      </c>
      <c r="N2" s="25"/>
      <c r="O2" s="26"/>
    </row>
    <row r="3">
      <c r="A3" s="27"/>
      <c r="B3" s="27"/>
      <c r="C3" s="27"/>
      <c r="D3" s="27"/>
      <c r="E3" s="27"/>
      <c r="F3" s="27"/>
      <c r="G3" s="27"/>
      <c r="H3" s="19"/>
      <c r="I3" s="19"/>
      <c r="J3" s="19"/>
      <c r="K3" s="19"/>
      <c r="L3" s="29">
        <v>0.1</v>
      </c>
      <c r="M3" s="30"/>
      <c r="N3" s="31"/>
      <c r="O3" s="26"/>
    </row>
    <row r="4">
      <c r="A4" s="33" t="s">
        <v>40</v>
      </c>
      <c r="B4" s="34"/>
      <c r="C4" s="34"/>
      <c r="D4" s="34"/>
      <c r="E4" s="34"/>
      <c r="F4" s="34"/>
      <c r="G4" s="36"/>
      <c r="H4" s="38"/>
      <c r="I4" s="38"/>
      <c r="J4" s="38"/>
      <c r="K4" s="40"/>
      <c r="L4" s="40"/>
      <c r="M4" s="42"/>
      <c r="N4" s="43"/>
      <c r="O4" s="45"/>
    </row>
    <row r="5">
      <c r="A5" s="47">
        <v>1.0</v>
      </c>
      <c r="B5" s="48" t="s">
        <v>57</v>
      </c>
      <c r="C5" s="48" t="s">
        <v>61</v>
      </c>
      <c r="D5" s="49" t="s">
        <v>63</v>
      </c>
      <c r="E5" s="52" t="s">
        <v>64</v>
      </c>
      <c r="F5" s="49" t="s">
        <v>65</v>
      </c>
      <c r="G5" s="48" t="s">
        <v>18</v>
      </c>
      <c r="H5" s="55">
        <v>3.0</v>
      </c>
      <c r="I5" s="55">
        <v>4.0</v>
      </c>
      <c r="J5" s="55">
        <v>6.0</v>
      </c>
      <c r="K5" s="60">
        <f t="shared" ref="K5:K12" si="1">(H5+4*I5+J5)/6</f>
        <v>4.166666667</v>
      </c>
      <c r="L5" s="60">
        <f t="shared" ref="L5:L12" si="2">K5*$L$3</f>
        <v>0.4166666667</v>
      </c>
      <c r="M5" s="61">
        <f t="shared" ref="M5:M12" si="3">sum(K5:L5)</f>
        <v>4.583333333</v>
      </c>
      <c r="N5" s="43"/>
      <c r="O5" s="45"/>
    </row>
    <row r="6">
      <c r="A6" s="47">
        <v>2.0</v>
      </c>
      <c r="B6" s="48" t="s">
        <v>80</v>
      </c>
      <c r="C6" s="48" t="s">
        <v>81</v>
      </c>
      <c r="D6" s="49" t="s">
        <v>63</v>
      </c>
      <c r="E6" s="63"/>
      <c r="F6" s="49" t="s">
        <v>65</v>
      </c>
      <c r="G6" s="48" t="s">
        <v>18</v>
      </c>
      <c r="H6" s="55">
        <v>3.0</v>
      </c>
      <c r="I6" s="55">
        <v>4.0</v>
      </c>
      <c r="J6" s="55">
        <v>6.0</v>
      </c>
      <c r="K6" s="60">
        <f t="shared" si="1"/>
        <v>4.166666667</v>
      </c>
      <c r="L6" s="60">
        <f t="shared" si="2"/>
        <v>0.4166666667</v>
      </c>
      <c r="M6" s="61">
        <f t="shared" si="3"/>
        <v>4.583333333</v>
      </c>
      <c r="N6" s="43"/>
      <c r="O6" s="45"/>
    </row>
    <row r="7">
      <c r="A7" s="47">
        <v>3.0</v>
      </c>
      <c r="B7" s="48" t="s">
        <v>84</v>
      </c>
      <c r="C7" s="48" t="s">
        <v>85</v>
      </c>
      <c r="D7" s="49" t="s">
        <v>63</v>
      </c>
      <c r="E7" s="63"/>
      <c r="F7" s="49" t="s">
        <v>65</v>
      </c>
      <c r="G7" s="48" t="s">
        <v>18</v>
      </c>
      <c r="H7" s="55">
        <v>2.0</v>
      </c>
      <c r="I7" s="55">
        <v>4.0</v>
      </c>
      <c r="J7" s="55">
        <v>6.0</v>
      </c>
      <c r="K7" s="60">
        <f t="shared" si="1"/>
        <v>4</v>
      </c>
      <c r="L7" s="60">
        <f t="shared" si="2"/>
        <v>0.4</v>
      </c>
      <c r="M7" s="61">
        <f t="shared" si="3"/>
        <v>4.4</v>
      </c>
      <c r="N7" s="43"/>
      <c r="O7" s="45"/>
    </row>
    <row r="8">
      <c r="A8" s="47">
        <v>4.0</v>
      </c>
      <c r="B8" s="48" t="s">
        <v>86</v>
      </c>
      <c r="C8" s="48" t="s">
        <v>87</v>
      </c>
      <c r="D8" s="49" t="s">
        <v>63</v>
      </c>
      <c r="E8" s="63"/>
      <c r="F8" s="49" t="s">
        <v>65</v>
      </c>
      <c r="G8" s="48" t="s">
        <v>18</v>
      </c>
      <c r="H8" s="55">
        <v>2.0</v>
      </c>
      <c r="I8" s="55">
        <v>3.0</v>
      </c>
      <c r="J8" s="55">
        <v>5.0</v>
      </c>
      <c r="K8" s="60">
        <f t="shared" si="1"/>
        <v>3.166666667</v>
      </c>
      <c r="L8" s="60">
        <f t="shared" si="2"/>
        <v>0.3166666667</v>
      </c>
      <c r="M8" s="61">
        <f t="shared" si="3"/>
        <v>3.483333333</v>
      </c>
      <c r="N8" s="43"/>
      <c r="O8" s="45"/>
    </row>
    <row r="9">
      <c r="A9" s="47">
        <v>5.0</v>
      </c>
      <c r="B9" s="48" t="s">
        <v>88</v>
      </c>
      <c r="C9" s="48" t="s">
        <v>89</v>
      </c>
      <c r="D9" s="49" t="s">
        <v>63</v>
      </c>
      <c r="E9" s="63"/>
      <c r="F9" s="49" t="s">
        <v>90</v>
      </c>
      <c r="G9" s="48" t="s">
        <v>18</v>
      </c>
      <c r="H9" s="55">
        <v>3.0</v>
      </c>
      <c r="I9" s="55">
        <v>4.0</v>
      </c>
      <c r="J9" s="55">
        <v>6.0</v>
      </c>
      <c r="K9" s="60">
        <f t="shared" si="1"/>
        <v>4.166666667</v>
      </c>
      <c r="L9" s="60">
        <f t="shared" si="2"/>
        <v>0.4166666667</v>
      </c>
      <c r="M9" s="61">
        <f t="shared" si="3"/>
        <v>4.583333333</v>
      </c>
      <c r="N9" s="43"/>
      <c r="O9" s="45"/>
    </row>
    <row r="10">
      <c r="A10" s="47">
        <v>6.0</v>
      </c>
      <c r="B10" s="48" t="s">
        <v>91</v>
      </c>
      <c r="C10" s="48" t="s">
        <v>92</v>
      </c>
      <c r="D10" s="49" t="s">
        <v>63</v>
      </c>
      <c r="E10" s="63"/>
      <c r="F10" s="49" t="s">
        <v>93</v>
      </c>
      <c r="G10" s="48" t="s">
        <v>94</v>
      </c>
      <c r="H10" s="55">
        <v>4.0</v>
      </c>
      <c r="I10" s="55">
        <v>5.0</v>
      </c>
      <c r="J10" s="55">
        <v>7.0</v>
      </c>
      <c r="K10" s="60">
        <f t="shared" si="1"/>
        <v>5.166666667</v>
      </c>
      <c r="L10" s="60">
        <f t="shared" si="2"/>
        <v>0.5166666667</v>
      </c>
      <c r="M10" s="61">
        <f t="shared" si="3"/>
        <v>5.683333333</v>
      </c>
      <c r="N10" s="43"/>
      <c r="O10" s="45"/>
    </row>
    <row r="11">
      <c r="A11" s="47">
        <v>7.0</v>
      </c>
      <c r="B11" s="48" t="s">
        <v>95</v>
      </c>
      <c r="C11" s="48" t="s">
        <v>96</v>
      </c>
      <c r="D11" s="49" t="s">
        <v>63</v>
      </c>
      <c r="E11" s="63"/>
      <c r="F11" s="49" t="s">
        <v>93</v>
      </c>
      <c r="G11" s="48" t="s">
        <v>94</v>
      </c>
      <c r="H11" s="55">
        <v>3.0</v>
      </c>
      <c r="I11" s="55">
        <v>5.0</v>
      </c>
      <c r="J11" s="55">
        <v>7.0</v>
      </c>
      <c r="K11" s="60">
        <f t="shared" si="1"/>
        <v>5</v>
      </c>
      <c r="L11" s="60">
        <f t="shared" si="2"/>
        <v>0.5</v>
      </c>
      <c r="M11" s="61">
        <f t="shared" si="3"/>
        <v>5.5</v>
      </c>
      <c r="N11" s="43"/>
      <c r="O11" s="45"/>
    </row>
    <row r="12">
      <c r="A12" s="47">
        <v>8.0</v>
      </c>
      <c r="B12" s="48" t="s">
        <v>97</v>
      </c>
      <c r="C12" s="48" t="s">
        <v>98</v>
      </c>
      <c r="D12" s="49" t="s">
        <v>63</v>
      </c>
      <c r="E12" s="65"/>
      <c r="F12" s="49" t="s">
        <v>99</v>
      </c>
      <c r="G12" s="48" t="s">
        <v>94</v>
      </c>
      <c r="H12" s="55">
        <v>2.0</v>
      </c>
      <c r="I12" s="55">
        <v>3.0</v>
      </c>
      <c r="J12" s="55">
        <v>5.0</v>
      </c>
      <c r="K12" s="60">
        <f t="shared" si="1"/>
        <v>3.166666667</v>
      </c>
      <c r="L12" s="60">
        <f t="shared" si="2"/>
        <v>0.3166666667</v>
      </c>
      <c r="M12" s="61">
        <f t="shared" si="3"/>
        <v>3.483333333</v>
      </c>
      <c r="N12" s="43"/>
      <c r="O12" s="45"/>
    </row>
    <row r="13">
      <c r="A13" s="66" t="s">
        <v>101</v>
      </c>
      <c r="B13" s="67"/>
      <c r="C13" s="67"/>
      <c r="D13" s="67"/>
      <c r="E13" s="67"/>
      <c r="F13" s="67"/>
      <c r="G13" s="68"/>
      <c r="H13" s="69"/>
      <c r="I13" s="69"/>
      <c r="J13" s="69"/>
      <c r="K13" s="60"/>
      <c r="L13" s="60"/>
      <c r="M13" s="61"/>
      <c r="N13" s="43"/>
      <c r="O13" s="45"/>
    </row>
    <row r="14">
      <c r="A14" s="47">
        <v>9.0</v>
      </c>
      <c r="B14" s="48" t="s">
        <v>102</v>
      </c>
      <c r="C14" s="48" t="s">
        <v>103</v>
      </c>
      <c r="D14" s="49" t="s">
        <v>104</v>
      </c>
      <c r="E14" s="52" t="s">
        <v>105</v>
      </c>
      <c r="F14" s="49" t="s">
        <v>106</v>
      </c>
      <c r="G14" s="48" t="s">
        <v>18</v>
      </c>
      <c r="H14" s="55">
        <v>2.0</v>
      </c>
      <c r="I14" s="55">
        <v>3.0</v>
      </c>
      <c r="J14" s="55">
        <v>4.0</v>
      </c>
      <c r="K14" s="60">
        <f t="shared" ref="K14:K21" si="4">(H14+4*I14+J14)/6</f>
        <v>3</v>
      </c>
      <c r="L14" s="60">
        <f t="shared" ref="L14:L21" si="5">K14*$L$3</f>
        <v>0.3</v>
      </c>
      <c r="M14" s="61">
        <f t="shared" ref="M14:M21" si="6">sum(K14:L14)</f>
        <v>3.3</v>
      </c>
      <c r="N14" s="43"/>
      <c r="O14" s="45"/>
    </row>
    <row r="15">
      <c r="A15" s="47">
        <v>10.0</v>
      </c>
      <c r="B15" s="48" t="s">
        <v>107</v>
      </c>
      <c r="C15" s="48" t="s">
        <v>108</v>
      </c>
      <c r="D15" s="49" t="s">
        <v>104</v>
      </c>
      <c r="E15" s="63"/>
      <c r="F15" s="49" t="s">
        <v>106</v>
      </c>
      <c r="G15" s="48" t="s">
        <v>18</v>
      </c>
      <c r="H15" s="55">
        <v>3.0</v>
      </c>
      <c r="I15" s="55">
        <v>4.0</v>
      </c>
      <c r="J15" s="55">
        <v>6.0</v>
      </c>
      <c r="K15" s="60">
        <f t="shared" si="4"/>
        <v>4.166666667</v>
      </c>
      <c r="L15" s="60">
        <f t="shared" si="5"/>
        <v>0.4166666667</v>
      </c>
      <c r="M15" s="61">
        <f t="shared" si="6"/>
        <v>4.583333333</v>
      </c>
      <c r="N15" s="43"/>
      <c r="O15" s="45"/>
    </row>
    <row r="16">
      <c r="A16" s="47">
        <v>11.0</v>
      </c>
      <c r="B16" s="48" t="s">
        <v>109</v>
      </c>
      <c r="C16" s="48" t="s">
        <v>110</v>
      </c>
      <c r="D16" s="49" t="s">
        <v>104</v>
      </c>
      <c r="E16" s="63"/>
      <c r="F16" s="49" t="s">
        <v>106</v>
      </c>
      <c r="G16" s="48" t="s">
        <v>18</v>
      </c>
      <c r="H16" s="55">
        <v>2.0</v>
      </c>
      <c r="I16" s="55">
        <v>3.0</v>
      </c>
      <c r="J16" s="55">
        <v>5.0</v>
      </c>
      <c r="K16" s="60">
        <f t="shared" si="4"/>
        <v>3.166666667</v>
      </c>
      <c r="L16" s="60">
        <f t="shared" si="5"/>
        <v>0.3166666667</v>
      </c>
      <c r="M16" s="61">
        <f t="shared" si="6"/>
        <v>3.483333333</v>
      </c>
      <c r="N16" s="43"/>
      <c r="O16" s="45"/>
    </row>
    <row r="17">
      <c r="A17" s="47">
        <v>12.0</v>
      </c>
      <c r="B17" s="48" t="s">
        <v>111</v>
      </c>
      <c r="C17" s="48" t="s">
        <v>112</v>
      </c>
      <c r="D17" s="49" t="s">
        <v>104</v>
      </c>
      <c r="E17" s="63"/>
      <c r="F17" s="49" t="s">
        <v>113</v>
      </c>
      <c r="G17" s="48" t="s">
        <v>18</v>
      </c>
      <c r="H17" s="55">
        <v>4.0</v>
      </c>
      <c r="I17" s="55">
        <v>6.0</v>
      </c>
      <c r="J17" s="55">
        <v>8.0</v>
      </c>
      <c r="K17" s="60">
        <f t="shared" si="4"/>
        <v>6</v>
      </c>
      <c r="L17" s="60">
        <f t="shared" si="5"/>
        <v>0.6</v>
      </c>
      <c r="M17" s="61">
        <f t="shared" si="6"/>
        <v>6.6</v>
      </c>
      <c r="N17" s="43"/>
      <c r="O17" s="45"/>
    </row>
    <row r="18">
      <c r="A18" s="47">
        <v>13.0</v>
      </c>
      <c r="B18" s="48" t="s">
        <v>114</v>
      </c>
      <c r="C18" s="48" t="s">
        <v>115</v>
      </c>
      <c r="D18" s="49" t="s">
        <v>104</v>
      </c>
      <c r="E18" s="63"/>
      <c r="F18" s="49" t="s">
        <v>116</v>
      </c>
      <c r="G18" s="48" t="s">
        <v>94</v>
      </c>
      <c r="H18" s="55">
        <v>4.0</v>
      </c>
      <c r="I18" s="55">
        <v>6.0</v>
      </c>
      <c r="J18" s="55">
        <v>9.0</v>
      </c>
      <c r="K18" s="60">
        <f t="shared" si="4"/>
        <v>6.166666667</v>
      </c>
      <c r="L18" s="60">
        <f t="shared" si="5"/>
        <v>0.6166666667</v>
      </c>
      <c r="M18" s="61">
        <f t="shared" si="6"/>
        <v>6.783333333</v>
      </c>
      <c r="N18" s="43"/>
      <c r="O18" s="45"/>
    </row>
    <row r="19">
      <c r="A19" s="47">
        <v>14.0</v>
      </c>
      <c r="B19" s="48" t="s">
        <v>117</v>
      </c>
      <c r="C19" s="48" t="s">
        <v>118</v>
      </c>
      <c r="D19" s="49" t="s">
        <v>104</v>
      </c>
      <c r="E19" s="63"/>
      <c r="F19" s="49" t="s">
        <v>116</v>
      </c>
      <c r="G19" s="48" t="s">
        <v>94</v>
      </c>
      <c r="H19" s="55">
        <v>4.0</v>
      </c>
      <c r="I19" s="55">
        <v>6.0</v>
      </c>
      <c r="J19" s="55">
        <v>9.0</v>
      </c>
      <c r="K19" s="60">
        <f t="shared" si="4"/>
        <v>6.166666667</v>
      </c>
      <c r="L19" s="60">
        <f t="shared" si="5"/>
        <v>0.6166666667</v>
      </c>
      <c r="M19" s="61">
        <f t="shared" si="6"/>
        <v>6.783333333</v>
      </c>
      <c r="N19" s="43"/>
      <c r="O19" s="45"/>
    </row>
    <row r="20">
      <c r="A20" s="47">
        <v>15.0</v>
      </c>
      <c r="B20" s="48" t="s">
        <v>119</v>
      </c>
      <c r="C20" s="48" t="s">
        <v>120</v>
      </c>
      <c r="D20" s="49" t="s">
        <v>104</v>
      </c>
      <c r="E20" s="63"/>
      <c r="F20" s="49" t="s">
        <v>116</v>
      </c>
      <c r="G20" s="48" t="s">
        <v>94</v>
      </c>
      <c r="H20" s="55">
        <v>4.0</v>
      </c>
      <c r="I20" s="55">
        <v>6.0</v>
      </c>
      <c r="J20" s="55">
        <v>9.0</v>
      </c>
      <c r="K20" s="60">
        <f t="shared" si="4"/>
        <v>6.166666667</v>
      </c>
      <c r="L20" s="60">
        <f t="shared" si="5"/>
        <v>0.6166666667</v>
      </c>
      <c r="M20" s="61">
        <f t="shared" si="6"/>
        <v>6.783333333</v>
      </c>
      <c r="N20" s="43"/>
      <c r="O20" s="45"/>
    </row>
    <row r="21">
      <c r="A21" s="47">
        <v>16.0</v>
      </c>
      <c r="B21" s="48" t="s">
        <v>121</v>
      </c>
      <c r="C21" s="48" t="s">
        <v>122</v>
      </c>
      <c r="D21" s="49" t="s">
        <v>104</v>
      </c>
      <c r="E21" s="65"/>
      <c r="F21" s="49" t="s">
        <v>116</v>
      </c>
      <c r="G21" s="48" t="s">
        <v>94</v>
      </c>
      <c r="H21" s="55">
        <v>3.0</v>
      </c>
      <c r="I21" s="55">
        <v>5.0</v>
      </c>
      <c r="J21" s="55">
        <v>7.0</v>
      </c>
      <c r="K21" s="60">
        <f t="shared" si="4"/>
        <v>5</v>
      </c>
      <c r="L21" s="60">
        <f t="shared" si="5"/>
        <v>0.5</v>
      </c>
      <c r="M21" s="61">
        <f t="shared" si="6"/>
        <v>5.5</v>
      </c>
      <c r="N21" s="43"/>
      <c r="O21" s="45"/>
    </row>
    <row r="22">
      <c r="A22" s="66" t="s">
        <v>123</v>
      </c>
      <c r="B22" s="67"/>
      <c r="C22" s="67"/>
      <c r="D22" s="67"/>
      <c r="E22" s="67"/>
      <c r="F22" s="67"/>
      <c r="G22" s="68"/>
      <c r="H22" s="69"/>
      <c r="I22" s="69"/>
      <c r="J22" s="69"/>
      <c r="K22" s="60"/>
      <c r="L22" s="60"/>
      <c r="M22" s="61"/>
      <c r="N22" s="43"/>
      <c r="O22" s="45"/>
    </row>
    <row r="23">
      <c r="A23" s="47">
        <v>17.0</v>
      </c>
      <c r="B23" s="48" t="s">
        <v>124</v>
      </c>
      <c r="C23" s="48" t="s">
        <v>125</v>
      </c>
      <c r="D23" s="49" t="s">
        <v>104</v>
      </c>
      <c r="E23" s="52" t="s">
        <v>126</v>
      </c>
      <c r="F23" s="49" t="s">
        <v>116</v>
      </c>
      <c r="G23" s="48" t="s">
        <v>100</v>
      </c>
      <c r="H23" s="55">
        <v>3.0</v>
      </c>
      <c r="I23" s="55">
        <v>4.0</v>
      </c>
      <c r="J23" s="55">
        <v>6.0</v>
      </c>
      <c r="K23" s="60">
        <f t="shared" ref="K23:K30" si="7">(H23+4*I23+J23)/6</f>
        <v>4.166666667</v>
      </c>
      <c r="L23" s="60">
        <f t="shared" ref="L23:L30" si="8">K23*$L$3</f>
        <v>0.4166666667</v>
      </c>
      <c r="M23" s="61">
        <f t="shared" ref="M23:M30" si="9">sum(K23:L23)</f>
        <v>4.583333333</v>
      </c>
      <c r="N23" s="43"/>
      <c r="O23" s="45"/>
    </row>
    <row r="24">
      <c r="A24" s="47">
        <v>18.0</v>
      </c>
      <c r="B24" s="48" t="s">
        <v>127</v>
      </c>
      <c r="C24" s="48" t="s">
        <v>128</v>
      </c>
      <c r="D24" s="49" t="s">
        <v>104</v>
      </c>
      <c r="E24" s="63"/>
      <c r="F24" s="49" t="s">
        <v>129</v>
      </c>
      <c r="G24" s="48" t="s">
        <v>100</v>
      </c>
      <c r="H24" s="55">
        <v>3.0</v>
      </c>
      <c r="I24" s="55">
        <v>5.0</v>
      </c>
      <c r="J24" s="55">
        <v>7.0</v>
      </c>
      <c r="K24" s="60">
        <f t="shared" si="7"/>
        <v>5</v>
      </c>
      <c r="L24" s="60">
        <f t="shared" si="8"/>
        <v>0.5</v>
      </c>
      <c r="M24" s="61">
        <f t="shared" si="9"/>
        <v>5.5</v>
      </c>
      <c r="N24" s="43"/>
      <c r="O24" s="45"/>
    </row>
    <row r="25">
      <c r="A25" s="47">
        <v>19.0</v>
      </c>
      <c r="B25" s="48" t="s">
        <v>130</v>
      </c>
      <c r="C25" s="48" t="s">
        <v>131</v>
      </c>
      <c r="D25" s="49" t="s">
        <v>104</v>
      </c>
      <c r="E25" s="63"/>
      <c r="F25" s="49" t="s">
        <v>132</v>
      </c>
      <c r="G25" s="48" t="s">
        <v>100</v>
      </c>
      <c r="H25" s="55">
        <v>4.0</v>
      </c>
      <c r="I25" s="55">
        <v>6.0</v>
      </c>
      <c r="J25" s="55">
        <v>8.0</v>
      </c>
      <c r="K25" s="60">
        <f t="shared" si="7"/>
        <v>6</v>
      </c>
      <c r="L25" s="60">
        <f t="shared" si="8"/>
        <v>0.6</v>
      </c>
      <c r="M25" s="61">
        <f t="shared" si="9"/>
        <v>6.6</v>
      </c>
      <c r="N25" s="43"/>
      <c r="O25" s="45"/>
    </row>
    <row r="26">
      <c r="A26" s="47">
        <v>20.0</v>
      </c>
      <c r="B26" s="48" t="s">
        <v>133</v>
      </c>
      <c r="C26" s="48" t="s">
        <v>134</v>
      </c>
      <c r="D26" s="49" t="s">
        <v>104</v>
      </c>
      <c r="E26" s="63"/>
      <c r="F26" s="49" t="s">
        <v>135</v>
      </c>
      <c r="G26" s="48" t="s">
        <v>100</v>
      </c>
      <c r="H26" s="55">
        <v>3.0</v>
      </c>
      <c r="I26" s="55">
        <v>5.0</v>
      </c>
      <c r="J26" s="55">
        <v>7.0</v>
      </c>
      <c r="K26" s="60">
        <f t="shared" si="7"/>
        <v>5</v>
      </c>
      <c r="L26" s="60">
        <f t="shared" si="8"/>
        <v>0.5</v>
      </c>
      <c r="M26" s="61">
        <f t="shared" si="9"/>
        <v>5.5</v>
      </c>
      <c r="N26" s="43"/>
      <c r="O26" s="45"/>
    </row>
    <row r="27">
      <c r="A27" s="47">
        <v>21.0</v>
      </c>
      <c r="B27" s="48" t="s">
        <v>136</v>
      </c>
      <c r="C27" s="48" t="s">
        <v>137</v>
      </c>
      <c r="D27" s="49" t="s">
        <v>138</v>
      </c>
      <c r="E27" s="63"/>
      <c r="F27" s="49" t="s">
        <v>139</v>
      </c>
      <c r="G27" s="48" t="s">
        <v>83</v>
      </c>
      <c r="H27" s="55">
        <v>2.0</v>
      </c>
      <c r="I27" s="55">
        <v>3.0</v>
      </c>
      <c r="J27" s="55">
        <v>4.0</v>
      </c>
      <c r="K27" s="60">
        <f t="shared" si="7"/>
        <v>3</v>
      </c>
      <c r="L27" s="60">
        <f t="shared" si="8"/>
        <v>0.3</v>
      </c>
      <c r="M27" s="61">
        <f t="shared" si="9"/>
        <v>3.3</v>
      </c>
      <c r="N27" s="43"/>
      <c r="O27" s="45"/>
    </row>
    <row r="28">
      <c r="A28" s="47">
        <v>22.0</v>
      </c>
      <c r="B28" s="48" t="s">
        <v>140</v>
      </c>
      <c r="C28" s="48" t="s">
        <v>141</v>
      </c>
      <c r="D28" s="49" t="s">
        <v>138</v>
      </c>
      <c r="E28" s="63"/>
      <c r="F28" s="49" t="s">
        <v>139</v>
      </c>
      <c r="G28" s="48" t="s">
        <v>83</v>
      </c>
      <c r="H28" s="55">
        <v>3.0</v>
      </c>
      <c r="I28" s="55">
        <v>5.0</v>
      </c>
      <c r="J28" s="55">
        <v>7.0</v>
      </c>
      <c r="K28" s="60">
        <f t="shared" si="7"/>
        <v>5</v>
      </c>
      <c r="L28" s="60">
        <f t="shared" si="8"/>
        <v>0.5</v>
      </c>
      <c r="M28" s="61">
        <f t="shared" si="9"/>
        <v>5.5</v>
      </c>
      <c r="N28" s="43"/>
      <c r="O28" s="45"/>
    </row>
    <row r="29">
      <c r="A29" s="47">
        <v>23.0</v>
      </c>
      <c r="B29" s="48" t="s">
        <v>142</v>
      </c>
      <c r="C29" s="48" t="s">
        <v>143</v>
      </c>
      <c r="D29" s="49" t="s">
        <v>138</v>
      </c>
      <c r="E29" s="63"/>
      <c r="F29" s="49" t="s">
        <v>139</v>
      </c>
      <c r="G29" s="48" t="s">
        <v>83</v>
      </c>
      <c r="H29" s="55">
        <v>3.0</v>
      </c>
      <c r="I29" s="55">
        <v>5.0</v>
      </c>
      <c r="J29" s="55">
        <v>7.0</v>
      </c>
      <c r="K29" s="60">
        <f t="shared" si="7"/>
        <v>5</v>
      </c>
      <c r="L29" s="60">
        <f t="shared" si="8"/>
        <v>0.5</v>
      </c>
      <c r="M29" s="61">
        <f t="shared" si="9"/>
        <v>5.5</v>
      </c>
      <c r="N29" s="43"/>
      <c r="O29" s="45"/>
    </row>
    <row r="30">
      <c r="A30" s="47">
        <v>24.0</v>
      </c>
      <c r="B30" s="48" t="s">
        <v>144</v>
      </c>
      <c r="C30" s="48" t="s">
        <v>145</v>
      </c>
      <c r="D30" s="49" t="s">
        <v>138</v>
      </c>
      <c r="E30" s="65"/>
      <c r="F30" s="49" t="s">
        <v>139</v>
      </c>
      <c r="G30" s="48" t="s">
        <v>83</v>
      </c>
      <c r="H30" s="55">
        <v>3.0</v>
      </c>
      <c r="I30" s="55">
        <v>4.0</v>
      </c>
      <c r="J30" s="55">
        <v>6.0</v>
      </c>
      <c r="K30" s="60">
        <f t="shared" si="7"/>
        <v>4.166666667</v>
      </c>
      <c r="L30" s="60">
        <f t="shared" si="8"/>
        <v>0.4166666667</v>
      </c>
      <c r="M30" s="61">
        <f t="shared" si="9"/>
        <v>4.583333333</v>
      </c>
      <c r="N30" s="43"/>
      <c r="O30" s="45"/>
    </row>
    <row r="31">
      <c r="A31" s="66" t="s">
        <v>146</v>
      </c>
      <c r="B31" s="67"/>
      <c r="C31" s="67"/>
      <c r="D31" s="67"/>
      <c r="E31" s="67"/>
      <c r="F31" s="67"/>
      <c r="G31" s="68"/>
      <c r="H31" s="69"/>
      <c r="I31" s="69"/>
      <c r="J31" s="69"/>
      <c r="K31" s="60"/>
      <c r="L31" s="60"/>
      <c r="M31" s="61"/>
      <c r="N31" s="43"/>
      <c r="O31" s="45"/>
    </row>
    <row r="32">
      <c r="A32" s="47">
        <v>25.0</v>
      </c>
      <c r="B32" s="48" t="s">
        <v>147</v>
      </c>
      <c r="C32" s="48" t="s">
        <v>148</v>
      </c>
      <c r="D32" s="49" t="s">
        <v>149</v>
      </c>
      <c r="E32" s="52" t="s">
        <v>150</v>
      </c>
      <c r="F32" s="49" t="s">
        <v>139</v>
      </c>
      <c r="G32" s="48" t="s">
        <v>59</v>
      </c>
      <c r="H32" s="55">
        <v>3.0</v>
      </c>
      <c r="I32" s="55">
        <v>5.0</v>
      </c>
      <c r="J32" s="55">
        <v>7.0</v>
      </c>
      <c r="K32" s="60">
        <f t="shared" ref="K32:K44" si="10">(H32+4*I32+J32)/6</f>
        <v>5</v>
      </c>
      <c r="L32" s="60">
        <f t="shared" ref="L32:L44" si="11">K32*$L$3</f>
        <v>0.5</v>
      </c>
      <c r="M32" s="61">
        <f t="shared" ref="M32:M44" si="12">sum(K32:L32)</f>
        <v>5.5</v>
      </c>
      <c r="N32" s="43"/>
      <c r="O32" s="45"/>
    </row>
    <row r="33">
      <c r="A33" s="47">
        <v>26.0</v>
      </c>
      <c r="B33" s="48" t="s">
        <v>151</v>
      </c>
      <c r="C33" s="48" t="s">
        <v>152</v>
      </c>
      <c r="D33" s="49" t="s">
        <v>149</v>
      </c>
      <c r="E33" s="63"/>
      <c r="F33" s="49" t="s">
        <v>139</v>
      </c>
      <c r="G33" s="48" t="s">
        <v>59</v>
      </c>
      <c r="H33" s="55">
        <v>3.0</v>
      </c>
      <c r="I33" s="55">
        <v>4.0</v>
      </c>
      <c r="J33" s="55">
        <v>6.0</v>
      </c>
      <c r="K33" s="60">
        <f t="shared" si="10"/>
        <v>4.166666667</v>
      </c>
      <c r="L33" s="60">
        <f t="shared" si="11"/>
        <v>0.4166666667</v>
      </c>
      <c r="M33" s="61">
        <f t="shared" si="12"/>
        <v>4.583333333</v>
      </c>
      <c r="N33" s="43"/>
      <c r="O33" s="45"/>
    </row>
    <row r="34">
      <c r="A34" s="47">
        <v>27.0</v>
      </c>
      <c r="B34" s="48" t="s">
        <v>153</v>
      </c>
      <c r="C34" s="48" t="s">
        <v>154</v>
      </c>
      <c r="D34" s="49" t="s">
        <v>149</v>
      </c>
      <c r="E34" s="63"/>
      <c r="F34" s="49" t="s">
        <v>139</v>
      </c>
      <c r="G34" s="48" t="s">
        <v>59</v>
      </c>
      <c r="H34" s="55">
        <v>4.0</v>
      </c>
      <c r="I34" s="55">
        <v>6.0</v>
      </c>
      <c r="J34" s="55">
        <v>9.0</v>
      </c>
      <c r="K34" s="60">
        <f t="shared" si="10"/>
        <v>6.166666667</v>
      </c>
      <c r="L34" s="60">
        <f t="shared" si="11"/>
        <v>0.6166666667</v>
      </c>
      <c r="M34" s="61">
        <f t="shared" si="12"/>
        <v>6.783333333</v>
      </c>
      <c r="N34" s="43"/>
      <c r="O34" s="45"/>
    </row>
    <row r="35">
      <c r="A35" s="47">
        <v>28.0</v>
      </c>
      <c r="B35" s="48" t="s">
        <v>155</v>
      </c>
      <c r="C35" s="48" t="s">
        <v>156</v>
      </c>
      <c r="D35" s="49" t="s">
        <v>149</v>
      </c>
      <c r="E35" s="63"/>
      <c r="F35" s="49" t="s">
        <v>139</v>
      </c>
      <c r="G35" s="48" t="s">
        <v>59</v>
      </c>
      <c r="H35" s="55">
        <v>3.0</v>
      </c>
      <c r="I35" s="55">
        <v>4.0</v>
      </c>
      <c r="J35" s="55">
        <v>6.0</v>
      </c>
      <c r="K35" s="60">
        <f t="shared" si="10"/>
        <v>4.166666667</v>
      </c>
      <c r="L35" s="60">
        <f t="shared" si="11"/>
        <v>0.4166666667</v>
      </c>
      <c r="M35" s="61">
        <f t="shared" si="12"/>
        <v>4.583333333</v>
      </c>
      <c r="N35" s="43"/>
      <c r="O35" s="45"/>
    </row>
    <row r="36">
      <c r="A36" s="47">
        <v>29.0</v>
      </c>
      <c r="B36" s="48" t="s">
        <v>157</v>
      </c>
      <c r="C36" s="48" t="s">
        <v>158</v>
      </c>
      <c r="D36" s="49" t="s">
        <v>149</v>
      </c>
      <c r="E36" s="63"/>
      <c r="F36" s="49" t="s">
        <v>139</v>
      </c>
      <c r="G36" s="48" t="s">
        <v>59</v>
      </c>
      <c r="H36" s="55">
        <v>4.0</v>
      </c>
      <c r="I36" s="55">
        <v>6.0</v>
      </c>
      <c r="J36" s="55">
        <v>9.0</v>
      </c>
      <c r="K36" s="60">
        <f t="shared" si="10"/>
        <v>6.166666667</v>
      </c>
      <c r="L36" s="60">
        <f t="shared" si="11"/>
        <v>0.6166666667</v>
      </c>
      <c r="M36" s="61">
        <f t="shared" si="12"/>
        <v>6.783333333</v>
      </c>
      <c r="N36" s="43"/>
      <c r="O36" s="45"/>
    </row>
    <row r="37">
      <c r="A37" s="47">
        <v>30.0</v>
      </c>
      <c r="B37" s="48" t="s">
        <v>159</v>
      </c>
      <c r="C37" s="48" t="s">
        <v>160</v>
      </c>
      <c r="D37" s="49" t="s">
        <v>149</v>
      </c>
      <c r="E37" s="63"/>
      <c r="F37" s="49" t="s">
        <v>139</v>
      </c>
      <c r="G37" s="48" t="s">
        <v>59</v>
      </c>
      <c r="H37" s="55">
        <v>3.0</v>
      </c>
      <c r="I37" s="55">
        <v>5.0</v>
      </c>
      <c r="J37" s="55">
        <v>7.0</v>
      </c>
      <c r="K37" s="60">
        <f t="shared" si="10"/>
        <v>5</v>
      </c>
      <c r="L37" s="60">
        <f t="shared" si="11"/>
        <v>0.5</v>
      </c>
      <c r="M37" s="61">
        <f t="shared" si="12"/>
        <v>5.5</v>
      </c>
      <c r="N37" s="43"/>
      <c r="O37" s="45"/>
    </row>
    <row r="38">
      <c r="A38" s="47">
        <v>31.0</v>
      </c>
      <c r="B38" s="48" t="s">
        <v>161</v>
      </c>
      <c r="C38" s="48" t="s">
        <v>162</v>
      </c>
      <c r="D38" s="49" t="s">
        <v>149</v>
      </c>
      <c r="E38" s="63"/>
      <c r="F38" s="49" t="s">
        <v>139</v>
      </c>
      <c r="G38" s="48" t="s">
        <v>83</v>
      </c>
      <c r="H38" s="55">
        <v>2.0</v>
      </c>
      <c r="I38" s="55">
        <v>3.0</v>
      </c>
      <c r="J38" s="55">
        <v>5.0</v>
      </c>
      <c r="K38" s="60">
        <f t="shared" si="10"/>
        <v>3.166666667</v>
      </c>
      <c r="L38" s="60">
        <f t="shared" si="11"/>
        <v>0.3166666667</v>
      </c>
      <c r="M38" s="61">
        <f t="shared" si="12"/>
        <v>3.483333333</v>
      </c>
      <c r="N38" s="43"/>
      <c r="O38" s="45"/>
    </row>
    <row r="39">
      <c r="A39" s="47">
        <v>32.0</v>
      </c>
      <c r="B39" s="48" t="s">
        <v>163</v>
      </c>
      <c r="C39" s="48" t="s">
        <v>164</v>
      </c>
      <c r="D39" s="49" t="s">
        <v>149</v>
      </c>
      <c r="E39" s="63"/>
      <c r="F39" s="49" t="s">
        <v>139</v>
      </c>
      <c r="G39" s="48" t="s">
        <v>83</v>
      </c>
      <c r="H39" s="55">
        <v>2.0</v>
      </c>
      <c r="I39" s="55">
        <v>3.0</v>
      </c>
      <c r="J39" s="55">
        <v>5.0</v>
      </c>
      <c r="K39" s="60">
        <f t="shared" si="10"/>
        <v>3.166666667</v>
      </c>
      <c r="L39" s="60">
        <f t="shared" si="11"/>
        <v>0.3166666667</v>
      </c>
      <c r="M39" s="61">
        <f t="shared" si="12"/>
        <v>3.483333333</v>
      </c>
      <c r="N39" s="43"/>
      <c r="O39" s="45"/>
    </row>
    <row r="40">
      <c r="A40" s="47">
        <v>33.0</v>
      </c>
      <c r="B40" s="48" t="s">
        <v>165</v>
      </c>
      <c r="C40" s="48" t="s">
        <v>166</v>
      </c>
      <c r="D40" s="49" t="s">
        <v>149</v>
      </c>
      <c r="E40" s="63"/>
      <c r="F40" s="49" t="s">
        <v>139</v>
      </c>
      <c r="G40" s="48" t="s">
        <v>83</v>
      </c>
      <c r="H40" s="55">
        <v>3.0</v>
      </c>
      <c r="I40" s="55">
        <v>5.0</v>
      </c>
      <c r="J40" s="55">
        <v>7.0</v>
      </c>
      <c r="K40" s="60">
        <f t="shared" si="10"/>
        <v>5</v>
      </c>
      <c r="L40" s="60">
        <f t="shared" si="11"/>
        <v>0.5</v>
      </c>
      <c r="M40" s="61">
        <f t="shared" si="12"/>
        <v>5.5</v>
      </c>
      <c r="N40" s="43"/>
      <c r="O40" s="45"/>
    </row>
    <row r="41">
      <c r="A41" s="47">
        <v>34.0</v>
      </c>
      <c r="B41" s="48" t="s">
        <v>167</v>
      </c>
      <c r="C41" s="48" t="s">
        <v>168</v>
      </c>
      <c r="D41" s="49" t="s">
        <v>149</v>
      </c>
      <c r="E41" s="63"/>
      <c r="F41" s="49" t="s">
        <v>139</v>
      </c>
      <c r="G41" s="48" t="s">
        <v>83</v>
      </c>
      <c r="H41" s="55">
        <v>3.0</v>
      </c>
      <c r="I41" s="55">
        <v>4.0</v>
      </c>
      <c r="J41" s="55">
        <v>6.0</v>
      </c>
      <c r="K41" s="60">
        <f t="shared" si="10"/>
        <v>4.166666667</v>
      </c>
      <c r="L41" s="60">
        <f t="shared" si="11"/>
        <v>0.4166666667</v>
      </c>
      <c r="M41" s="61">
        <f t="shared" si="12"/>
        <v>4.583333333</v>
      </c>
      <c r="N41" s="43"/>
      <c r="O41" s="45"/>
    </row>
    <row r="42">
      <c r="A42" s="47">
        <v>35.0</v>
      </c>
      <c r="B42" s="48" t="s">
        <v>169</v>
      </c>
      <c r="C42" s="48" t="s">
        <v>170</v>
      </c>
      <c r="D42" s="49" t="s">
        <v>149</v>
      </c>
      <c r="E42" s="63"/>
      <c r="F42" s="49" t="s">
        <v>139</v>
      </c>
      <c r="G42" s="48" t="s">
        <v>100</v>
      </c>
      <c r="H42" s="55">
        <v>3.0</v>
      </c>
      <c r="I42" s="55">
        <v>5.0</v>
      </c>
      <c r="J42" s="55">
        <v>7.0</v>
      </c>
      <c r="K42" s="60">
        <f t="shared" si="10"/>
        <v>5</v>
      </c>
      <c r="L42" s="60">
        <f t="shared" si="11"/>
        <v>0.5</v>
      </c>
      <c r="M42" s="61">
        <f t="shared" si="12"/>
        <v>5.5</v>
      </c>
      <c r="N42" s="43"/>
      <c r="O42" s="45"/>
    </row>
    <row r="43">
      <c r="A43" s="47">
        <v>36.0</v>
      </c>
      <c r="B43" s="48" t="s">
        <v>171</v>
      </c>
      <c r="C43" s="48" t="s">
        <v>172</v>
      </c>
      <c r="D43" s="49" t="s">
        <v>149</v>
      </c>
      <c r="E43" s="63"/>
      <c r="F43" s="49" t="s">
        <v>139</v>
      </c>
      <c r="G43" s="48" t="s">
        <v>100</v>
      </c>
      <c r="H43" s="55">
        <v>4.0</v>
      </c>
      <c r="I43" s="55">
        <v>6.0</v>
      </c>
      <c r="J43" s="55">
        <v>9.0</v>
      </c>
      <c r="K43" s="60">
        <f t="shared" si="10"/>
        <v>6.166666667</v>
      </c>
      <c r="L43" s="60">
        <f t="shared" si="11"/>
        <v>0.6166666667</v>
      </c>
      <c r="M43" s="61">
        <f t="shared" si="12"/>
        <v>6.783333333</v>
      </c>
      <c r="N43" s="43"/>
      <c r="O43" s="45"/>
    </row>
    <row r="44">
      <c r="A44" s="47">
        <v>37.0</v>
      </c>
      <c r="B44" s="48" t="s">
        <v>173</v>
      </c>
      <c r="C44" s="48" t="s">
        <v>174</v>
      </c>
      <c r="D44" s="49" t="s">
        <v>149</v>
      </c>
      <c r="E44" s="65"/>
      <c r="F44" s="49" t="s">
        <v>139</v>
      </c>
      <c r="G44" s="48" t="s">
        <v>100</v>
      </c>
      <c r="H44" s="55">
        <v>3.0</v>
      </c>
      <c r="I44" s="55">
        <v>5.0</v>
      </c>
      <c r="J44" s="55">
        <v>8.0</v>
      </c>
      <c r="K44" s="60">
        <f t="shared" si="10"/>
        <v>5.166666667</v>
      </c>
      <c r="L44" s="60">
        <f t="shared" si="11"/>
        <v>0.5166666667</v>
      </c>
      <c r="M44" s="61">
        <f t="shared" si="12"/>
        <v>5.683333333</v>
      </c>
      <c r="N44" s="43"/>
      <c r="O44" s="45"/>
    </row>
    <row r="45">
      <c r="A45" s="66" t="s">
        <v>175</v>
      </c>
      <c r="B45" s="67"/>
      <c r="C45" s="67"/>
      <c r="D45" s="67"/>
      <c r="E45" s="67"/>
      <c r="F45" s="67"/>
      <c r="G45" s="68"/>
      <c r="H45" s="69"/>
      <c r="I45" s="69"/>
      <c r="J45" s="69"/>
      <c r="K45" s="60"/>
      <c r="L45" s="60"/>
      <c r="M45" s="61"/>
      <c r="N45" s="43"/>
      <c r="O45" s="45"/>
    </row>
    <row r="46">
      <c r="A46" s="47">
        <v>38.0</v>
      </c>
      <c r="B46" s="48" t="s">
        <v>176</v>
      </c>
      <c r="C46" s="48" t="s">
        <v>177</v>
      </c>
      <c r="D46" s="79" t="s">
        <v>178</v>
      </c>
      <c r="E46" s="80" t="s">
        <v>179</v>
      </c>
      <c r="F46" s="49" t="s">
        <v>180</v>
      </c>
      <c r="G46" s="48" t="s">
        <v>83</v>
      </c>
      <c r="H46" s="55">
        <v>4.0</v>
      </c>
      <c r="I46" s="55">
        <v>6.0</v>
      </c>
      <c r="J46" s="55">
        <v>8.0</v>
      </c>
      <c r="K46" s="60">
        <f t="shared" ref="K46:K55" si="13">(H46+4*I46+J46)/6</f>
        <v>6</v>
      </c>
      <c r="L46" s="60">
        <f t="shared" ref="L46:L55" si="14">K46*$L$3</f>
        <v>0.6</v>
      </c>
      <c r="M46" s="61">
        <f t="shared" ref="M46:M55" si="15">sum(K46:L46)</f>
        <v>6.6</v>
      </c>
      <c r="N46" s="43"/>
      <c r="O46" s="45"/>
    </row>
    <row r="47">
      <c r="A47" s="47">
        <v>39.0</v>
      </c>
      <c r="B47" s="48" t="s">
        <v>181</v>
      </c>
      <c r="C47" s="48" t="s">
        <v>182</v>
      </c>
      <c r="D47" s="79" t="s">
        <v>178</v>
      </c>
      <c r="E47" s="63"/>
      <c r="F47" s="49" t="s">
        <v>183</v>
      </c>
      <c r="G47" s="48" t="s">
        <v>83</v>
      </c>
      <c r="H47" s="55">
        <v>2.0</v>
      </c>
      <c r="I47" s="55">
        <v>3.0</v>
      </c>
      <c r="J47" s="55">
        <v>5.0</v>
      </c>
      <c r="K47" s="60">
        <f t="shared" si="13"/>
        <v>3.166666667</v>
      </c>
      <c r="L47" s="60">
        <f t="shared" si="14"/>
        <v>0.3166666667</v>
      </c>
      <c r="M47" s="61">
        <f t="shared" si="15"/>
        <v>3.483333333</v>
      </c>
      <c r="N47" s="43"/>
      <c r="O47" s="45"/>
    </row>
    <row r="48">
      <c r="A48" s="47">
        <v>40.0</v>
      </c>
      <c r="B48" s="48" t="s">
        <v>184</v>
      </c>
      <c r="C48" s="48" t="s">
        <v>185</v>
      </c>
      <c r="D48" s="79" t="s">
        <v>178</v>
      </c>
      <c r="E48" s="63"/>
      <c r="F48" s="49" t="s">
        <v>186</v>
      </c>
      <c r="G48" s="48" t="s">
        <v>59</v>
      </c>
      <c r="H48" s="55">
        <v>3.0</v>
      </c>
      <c r="I48" s="55">
        <v>4.0</v>
      </c>
      <c r="J48" s="55">
        <v>6.0</v>
      </c>
      <c r="K48" s="60">
        <f t="shared" si="13"/>
        <v>4.166666667</v>
      </c>
      <c r="L48" s="60">
        <f t="shared" si="14"/>
        <v>0.4166666667</v>
      </c>
      <c r="M48" s="61">
        <f t="shared" si="15"/>
        <v>4.583333333</v>
      </c>
      <c r="N48" s="43"/>
      <c r="O48" s="45"/>
    </row>
    <row r="49">
      <c r="A49" s="47">
        <v>41.0</v>
      </c>
      <c r="B49" s="48" t="s">
        <v>187</v>
      </c>
      <c r="C49" s="48" t="s">
        <v>188</v>
      </c>
      <c r="D49" s="79" t="s">
        <v>178</v>
      </c>
      <c r="E49" s="63"/>
      <c r="F49" s="49" t="s">
        <v>189</v>
      </c>
      <c r="G49" s="48" t="s">
        <v>59</v>
      </c>
      <c r="H49" s="55">
        <v>3.0</v>
      </c>
      <c r="I49" s="55">
        <v>5.0</v>
      </c>
      <c r="J49" s="55">
        <v>7.0</v>
      </c>
      <c r="K49" s="60">
        <f t="shared" si="13"/>
        <v>5</v>
      </c>
      <c r="L49" s="60">
        <f t="shared" si="14"/>
        <v>0.5</v>
      </c>
      <c r="M49" s="61">
        <f t="shared" si="15"/>
        <v>5.5</v>
      </c>
      <c r="N49" s="43"/>
      <c r="O49" s="45"/>
    </row>
    <row r="50">
      <c r="A50" s="47">
        <v>42.0</v>
      </c>
      <c r="B50" s="48" t="s">
        <v>190</v>
      </c>
      <c r="C50" s="48" t="s">
        <v>191</v>
      </c>
      <c r="D50" s="79" t="s">
        <v>178</v>
      </c>
      <c r="E50" s="63"/>
      <c r="F50" s="49" t="s">
        <v>192</v>
      </c>
      <c r="G50" s="48" t="s">
        <v>18</v>
      </c>
      <c r="H50" s="55">
        <v>3.0</v>
      </c>
      <c r="I50" s="55">
        <v>5.0</v>
      </c>
      <c r="J50" s="55">
        <v>7.0</v>
      </c>
      <c r="K50" s="60">
        <f t="shared" si="13"/>
        <v>5</v>
      </c>
      <c r="L50" s="60">
        <f t="shared" si="14"/>
        <v>0.5</v>
      </c>
      <c r="M50" s="61">
        <f t="shared" si="15"/>
        <v>5.5</v>
      </c>
      <c r="N50" s="43"/>
      <c r="O50" s="45"/>
    </row>
    <row r="51">
      <c r="A51" s="47">
        <v>43.0</v>
      </c>
      <c r="B51" s="48" t="s">
        <v>193</v>
      </c>
      <c r="C51" s="48" t="s">
        <v>194</v>
      </c>
      <c r="D51" s="79" t="s">
        <v>178</v>
      </c>
      <c r="E51" s="63"/>
      <c r="F51" s="49" t="s">
        <v>180</v>
      </c>
      <c r="G51" s="48" t="s">
        <v>94</v>
      </c>
      <c r="H51" s="55">
        <v>2.0</v>
      </c>
      <c r="I51" s="55">
        <v>3.0</v>
      </c>
      <c r="J51" s="55">
        <v>5.0</v>
      </c>
      <c r="K51" s="60">
        <f t="shared" si="13"/>
        <v>3.166666667</v>
      </c>
      <c r="L51" s="60">
        <f t="shared" si="14"/>
        <v>0.3166666667</v>
      </c>
      <c r="M51" s="61">
        <f t="shared" si="15"/>
        <v>3.483333333</v>
      </c>
      <c r="N51" s="43"/>
      <c r="O51" s="45"/>
    </row>
    <row r="52">
      <c r="A52" s="47">
        <v>44.0</v>
      </c>
      <c r="B52" s="48" t="s">
        <v>195</v>
      </c>
      <c r="C52" s="48" t="s">
        <v>196</v>
      </c>
      <c r="D52" s="79" t="s">
        <v>178</v>
      </c>
      <c r="E52" s="63"/>
      <c r="F52" s="49" t="s">
        <v>197</v>
      </c>
      <c r="G52" s="48" t="s">
        <v>18</v>
      </c>
      <c r="H52" s="55">
        <v>4.0</v>
      </c>
      <c r="I52" s="55">
        <v>6.0</v>
      </c>
      <c r="J52" s="55">
        <v>9.0</v>
      </c>
      <c r="K52" s="60">
        <f t="shared" si="13"/>
        <v>6.166666667</v>
      </c>
      <c r="L52" s="60">
        <f t="shared" si="14"/>
        <v>0.6166666667</v>
      </c>
      <c r="M52" s="61">
        <f t="shared" si="15"/>
        <v>6.783333333</v>
      </c>
      <c r="N52" s="43"/>
      <c r="O52" s="45"/>
    </row>
    <row r="53">
      <c r="A53" s="80">
        <v>45.0</v>
      </c>
      <c r="B53" s="80" t="s">
        <v>198</v>
      </c>
      <c r="C53" s="80" t="s">
        <v>199</v>
      </c>
      <c r="D53" s="80" t="s">
        <v>178</v>
      </c>
      <c r="E53" s="63"/>
      <c r="F53" s="80" t="s">
        <v>200</v>
      </c>
      <c r="G53" s="81" t="s">
        <v>59</v>
      </c>
      <c r="H53" s="55">
        <v>4.0</v>
      </c>
      <c r="I53" s="55">
        <v>6.0</v>
      </c>
      <c r="J53" s="55">
        <v>9.0</v>
      </c>
      <c r="K53" s="60">
        <f t="shared" si="13"/>
        <v>6.166666667</v>
      </c>
      <c r="L53" s="60">
        <f t="shared" si="14"/>
        <v>0.6166666667</v>
      </c>
      <c r="M53" s="61">
        <f t="shared" si="15"/>
        <v>6.783333333</v>
      </c>
      <c r="N53" s="43"/>
      <c r="O53" s="45"/>
    </row>
    <row r="54">
      <c r="A54" s="63"/>
      <c r="B54" s="63"/>
      <c r="C54" s="63"/>
      <c r="D54" s="63"/>
      <c r="E54" s="63"/>
      <c r="F54" s="63"/>
      <c r="G54" s="82" t="s">
        <v>100</v>
      </c>
      <c r="H54" s="55">
        <v>4.0</v>
      </c>
      <c r="I54" s="55">
        <v>6.0</v>
      </c>
      <c r="J54" s="55">
        <v>9.0</v>
      </c>
      <c r="K54" s="60">
        <f t="shared" si="13"/>
        <v>6.166666667</v>
      </c>
      <c r="L54" s="60">
        <f t="shared" si="14"/>
        <v>0.6166666667</v>
      </c>
      <c r="M54" s="61">
        <f t="shared" si="15"/>
        <v>6.783333333</v>
      </c>
      <c r="N54" s="43"/>
      <c r="O54" s="45"/>
    </row>
    <row r="55">
      <c r="A55" s="65"/>
      <c r="B55" s="65"/>
      <c r="C55" s="65"/>
      <c r="D55" s="65"/>
      <c r="E55" s="65"/>
      <c r="F55" s="65"/>
      <c r="G55" s="82" t="s">
        <v>83</v>
      </c>
      <c r="H55" s="55">
        <v>4.0</v>
      </c>
      <c r="I55" s="55">
        <v>6.0</v>
      </c>
      <c r="J55" s="55">
        <v>9.0</v>
      </c>
      <c r="K55" s="60">
        <f t="shared" si="13"/>
        <v>6.166666667</v>
      </c>
      <c r="L55" s="60">
        <f t="shared" si="14"/>
        <v>0.6166666667</v>
      </c>
      <c r="M55" s="61">
        <f t="shared" si="15"/>
        <v>6.783333333</v>
      </c>
      <c r="N55" s="43"/>
      <c r="O55" s="45"/>
    </row>
    <row r="56">
      <c r="A56" s="66" t="s">
        <v>201</v>
      </c>
      <c r="B56" s="67"/>
      <c r="C56" s="67"/>
      <c r="D56" s="67"/>
      <c r="E56" s="67"/>
      <c r="F56" s="67"/>
      <c r="G56" s="68"/>
      <c r="H56" s="69"/>
      <c r="I56" s="69"/>
      <c r="J56" s="69"/>
      <c r="K56" s="60"/>
      <c r="L56" s="60"/>
      <c r="M56" s="61"/>
      <c r="N56" s="43"/>
      <c r="O56" s="45"/>
    </row>
    <row r="57">
      <c r="A57" s="47">
        <v>46.0</v>
      </c>
      <c r="B57" s="48" t="s">
        <v>202</v>
      </c>
      <c r="C57" s="48" t="s">
        <v>203</v>
      </c>
      <c r="D57" s="81" t="s">
        <v>204</v>
      </c>
      <c r="E57" s="80" t="s">
        <v>205</v>
      </c>
      <c r="F57" s="49" t="s">
        <v>206</v>
      </c>
      <c r="G57" s="48" t="s">
        <v>59</v>
      </c>
      <c r="H57" s="55">
        <v>2.0</v>
      </c>
      <c r="I57" s="55">
        <v>3.0</v>
      </c>
      <c r="J57" s="55">
        <v>4.0</v>
      </c>
      <c r="K57" s="60">
        <f t="shared" ref="K57:K61" si="16">(H57+4*I57+J57)/6</f>
        <v>3</v>
      </c>
      <c r="L57" s="60">
        <f t="shared" ref="L57:L61" si="17">K57*$L$3</f>
        <v>0.3</v>
      </c>
      <c r="M57" s="61">
        <f t="shared" ref="M57:M61" si="18">sum(K57:L57)</f>
        <v>3.3</v>
      </c>
      <c r="N57" s="43"/>
      <c r="O57" s="45"/>
    </row>
    <row r="58">
      <c r="A58" s="47">
        <v>47.0</v>
      </c>
      <c r="B58" s="48" t="s">
        <v>207</v>
      </c>
      <c r="C58" s="81" t="s">
        <v>208</v>
      </c>
      <c r="D58" s="81" t="s">
        <v>209</v>
      </c>
      <c r="E58" s="63"/>
      <c r="F58" s="49" t="s">
        <v>210</v>
      </c>
      <c r="G58" s="48" t="s">
        <v>100</v>
      </c>
      <c r="H58" s="55">
        <v>2.0</v>
      </c>
      <c r="I58" s="55">
        <v>3.0</v>
      </c>
      <c r="J58" s="55">
        <v>5.0</v>
      </c>
      <c r="K58" s="60">
        <f t="shared" si="16"/>
        <v>3.166666667</v>
      </c>
      <c r="L58" s="60">
        <f t="shared" si="17"/>
        <v>0.3166666667</v>
      </c>
      <c r="M58" s="61">
        <f t="shared" si="18"/>
        <v>3.483333333</v>
      </c>
      <c r="N58" s="43"/>
      <c r="O58" s="45"/>
    </row>
    <row r="59">
      <c r="A59" s="47">
        <v>48.0</v>
      </c>
      <c r="B59" s="48" t="s">
        <v>211</v>
      </c>
      <c r="C59" s="48" t="s">
        <v>212</v>
      </c>
      <c r="D59" s="81" t="s">
        <v>213</v>
      </c>
      <c r="E59" s="63"/>
      <c r="F59" s="49" t="s">
        <v>214</v>
      </c>
      <c r="G59" s="48" t="s">
        <v>94</v>
      </c>
      <c r="H59" s="55">
        <v>3.0</v>
      </c>
      <c r="I59" s="55">
        <v>4.0</v>
      </c>
      <c r="J59" s="55">
        <v>6.0</v>
      </c>
      <c r="K59" s="60">
        <f t="shared" si="16"/>
        <v>4.166666667</v>
      </c>
      <c r="L59" s="60">
        <f t="shared" si="17"/>
        <v>0.4166666667</v>
      </c>
      <c r="M59" s="61">
        <f t="shared" si="18"/>
        <v>4.583333333</v>
      </c>
      <c r="N59" s="43"/>
      <c r="O59" s="45"/>
    </row>
    <row r="60">
      <c r="A60" s="47">
        <v>49.0</v>
      </c>
      <c r="B60" s="48" t="s">
        <v>215</v>
      </c>
      <c r="C60" s="48" t="s">
        <v>216</v>
      </c>
      <c r="D60" s="81" t="s">
        <v>215</v>
      </c>
      <c r="E60" s="63"/>
      <c r="F60" s="49" t="s">
        <v>217</v>
      </c>
      <c r="G60" s="48" t="s">
        <v>18</v>
      </c>
      <c r="H60" s="55">
        <v>2.0</v>
      </c>
      <c r="I60" s="55">
        <v>3.0</v>
      </c>
      <c r="J60" s="55">
        <v>4.0</v>
      </c>
      <c r="K60" s="60">
        <f t="shared" si="16"/>
        <v>3</v>
      </c>
      <c r="L60" s="60">
        <f t="shared" si="17"/>
        <v>0.3</v>
      </c>
      <c r="M60" s="61">
        <f t="shared" si="18"/>
        <v>3.3</v>
      </c>
      <c r="N60" s="43"/>
      <c r="O60" s="45"/>
    </row>
    <row r="61">
      <c r="A61" s="47">
        <v>50.0</v>
      </c>
      <c r="B61" s="48" t="s">
        <v>218</v>
      </c>
      <c r="C61" s="48" t="s">
        <v>219</v>
      </c>
      <c r="D61" s="81" t="s">
        <v>220</v>
      </c>
      <c r="E61" s="65"/>
      <c r="F61" s="83" t="s">
        <v>221</v>
      </c>
      <c r="G61" s="48" t="s">
        <v>94</v>
      </c>
      <c r="H61" s="55">
        <v>2.0</v>
      </c>
      <c r="I61" s="55">
        <v>3.0</v>
      </c>
      <c r="J61" s="55">
        <v>5.0</v>
      </c>
      <c r="K61" s="60">
        <f t="shared" si="16"/>
        <v>3.166666667</v>
      </c>
      <c r="L61" s="60">
        <f t="shared" si="17"/>
        <v>0.3166666667</v>
      </c>
      <c r="M61" s="61">
        <f t="shared" si="18"/>
        <v>3.483333333</v>
      </c>
      <c r="N61" s="43"/>
      <c r="O61" s="45"/>
    </row>
    <row r="62">
      <c r="A62" s="84" t="s">
        <v>222</v>
      </c>
      <c r="B62" s="85"/>
      <c r="C62" s="85"/>
      <c r="D62" s="85"/>
      <c r="E62" s="85"/>
      <c r="F62" s="85"/>
      <c r="G62" s="86"/>
      <c r="H62" s="87">
        <f t="shared" ref="H62:M62" si="19">SUM(H5:H61)</f>
        <v>156</v>
      </c>
      <c r="I62" s="87">
        <f t="shared" si="19"/>
        <v>235</v>
      </c>
      <c r="J62" s="87">
        <f t="shared" si="19"/>
        <v>346</v>
      </c>
      <c r="K62" s="88">
        <f t="shared" si="19"/>
        <v>240.3333333</v>
      </c>
      <c r="L62" s="88">
        <f t="shared" si="19"/>
        <v>24.03333333</v>
      </c>
      <c r="M62" s="89">
        <f t="shared" si="19"/>
        <v>264.3666667</v>
      </c>
      <c r="N62" s="43"/>
      <c r="O62" s="45"/>
    </row>
    <row r="63">
      <c r="A63" s="90"/>
      <c r="B63" s="91"/>
      <c r="C63" s="91"/>
      <c r="D63" s="91"/>
      <c r="E63" s="91"/>
      <c r="F63" s="91"/>
      <c r="G63" s="91"/>
      <c r="H63" s="91"/>
      <c r="I63" s="91"/>
      <c r="J63" s="91"/>
      <c r="K63" s="91"/>
      <c r="L63" s="91"/>
      <c r="M63" s="91"/>
      <c r="N63" s="43"/>
      <c r="O63" s="45"/>
    </row>
    <row r="64">
      <c r="A64" s="90"/>
      <c r="B64" s="91"/>
      <c r="C64" s="91"/>
      <c r="D64" s="91"/>
      <c r="E64" s="91"/>
      <c r="F64" s="91"/>
      <c r="G64" s="91"/>
      <c r="H64" s="91"/>
      <c r="I64" s="91"/>
      <c r="J64" s="91"/>
      <c r="K64" s="91"/>
      <c r="L64" s="91"/>
      <c r="M64" s="91"/>
      <c r="N64" s="43"/>
      <c r="O64" s="45"/>
    </row>
    <row r="65">
      <c r="A65" s="90"/>
      <c r="B65" s="91"/>
      <c r="C65" s="91"/>
      <c r="D65" s="91"/>
      <c r="E65" s="91"/>
      <c r="F65" s="91"/>
      <c r="G65" s="91"/>
      <c r="H65" s="91"/>
      <c r="I65" s="91"/>
      <c r="J65" s="91"/>
      <c r="K65" s="91"/>
      <c r="L65" s="91"/>
      <c r="M65" s="91"/>
      <c r="N65" s="43"/>
      <c r="O65" s="45"/>
    </row>
    <row r="66">
      <c r="A66" s="90"/>
      <c r="B66" s="91"/>
      <c r="C66" s="91"/>
      <c r="D66" s="91"/>
      <c r="E66" s="91"/>
      <c r="F66" s="91"/>
      <c r="G66" s="91"/>
      <c r="H66" s="91"/>
      <c r="I66" s="91"/>
      <c r="J66" s="91"/>
      <c r="K66" s="91"/>
      <c r="L66" s="91"/>
      <c r="M66" s="91"/>
      <c r="N66" s="43"/>
      <c r="O66" s="45"/>
    </row>
    <row r="67">
      <c r="A67" s="90"/>
      <c r="B67" s="91"/>
      <c r="C67" s="91"/>
      <c r="D67" s="91"/>
      <c r="E67" s="91"/>
      <c r="F67" s="91"/>
      <c r="G67" s="91"/>
      <c r="H67" s="91"/>
      <c r="I67" s="91"/>
      <c r="J67" s="91"/>
      <c r="K67" s="91"/>
      <c r="L67" s="91"/>
      <c r="M67" s="91"/>
      <c r="N67" s="43"/>
      <c r="O67" s="45"/>
    </row>
    <row r="68">
      <c r="A68" s="90"/>
      <c r="B68" s="91"/>
      <c r="C68" s="91"/>
      <c r="D68" s="91"/>
      <c r="E68" s="91"/>
      <c r="F68" s="91"/>
      <c r="G68" s="91"/>
      <c r="H68" s="91"/>
      <c r="I68" s="91"/>
      <c r="J68" s="91"/>
      <c r="K68" s="91"/>
      <c r="L68" s="91"/>
      <c r="M68" s="91"/>
      <c r="N68" s="43"/>
      <c r="O68" s="45"/>
    </row>
    <row r="69">
      <c r="A69" s="90"/>
      <c r="B69" s="91"/>
      <c r="C69" s="91"/>
      <c r="D69" s="91"/>
      <c r="E69" s="91"/>
      <c r="F69" s="91"/>
      <c r="G69" s="91"/>
      <c r="H69" s="91"/>
      <c r="I69" s="91"/>
      <c r="J69" s="91"/>
      <c r="K69" s="91"/>
      <c r="L69" s="91"/>
      <c r="M69" s="91"/>
      <c r="N69" s="43"/>
      <c r="O69" s="45"/>
    </row>
    <row r="70">
      <c r="A70" s="90"/>
      <c r="B70" s="91"/>
      <c r="C70" s="91"/>
      <c r="D70" s="91"/>
      <c r="E70" s="91"/>
      <c r="F70" s="91"/>
      <c r="G70" s="91"/>
      <c r="H70" s="91"/>
      <c r="I70" s="91"/>
      <c r="J70" s="91"/>
      <c r="K70" s="91"/>
      <c r="L70" s="91"/>
      <c r="M70" s="91"/>
      <c r="N70" s="43"/>
      <c r="O70" s="45"/>
    </row>
    <row r="71">
      <c r="A71" s="90"/>
      <c r="B71" s="91"/>
      <c r="C71" s="91"/>
      <c r="D71" s="91"/>
      <c r="E71" s="91"/>
      <c r="F71" s="91"/>
      <c r="G71" s="91"/>
      <c r="H71" s="91"/>
      <c r="I71" s="91"/>
      <c r="J71" s="91"/>
      <c r="K71" s="91"/>
      <c r="L71" s="91"/>
      <c r="M71" s="91"/>
      <c r="N71" s="43"/>
      <c r="O71" s="45"/>
    </row>
    <row r="72">
      <c r="A72" s="90"/>
      <c r="B72" s="91"/>
      <c r="C72" s="91"/>
      <c r="D72" s="91"/>
      <c r="E72" s="91"/>
      <c r="F72" s="91"/>
      <c r="G72" s="91"/>
      <c r="H72" s="91"/>
      <c r="I72" s="91"/>
      <c r="J72" s="91"/>
      <c r="K72" s="91"/>
      <c r="L72" s="91"/>
      <c r="M72" s="91"/>
      <c r="N72" s="43"/>
      <c r="O72" s="45"/>
    </row>
    <row r="73">
      <c r="A73" s="90"/>
      <c r="B73" s="91"/>
      <c r="C73" s="91"/>
      <c r="D73" s="91"/>
      <c r="E73" s="91"/>
      <c r="F73" s="91"/>
      <c r="G73" s="91"/>
      <c r="H73" s="91"/>
      <c r="I73" s="91"/>
      <c r="J73" s="91"/>
      <c r="K73" s="91"/>
      <c r="L73" s="91"/>
      <c r="M73" s="91"/>
      <c r="N73" s="43"/>
      <c r="O73" s="45"/>
    </row>
    <row r="74">
      <c r="A74" s="90"/>
      <c r="B74" s="91"/>
      <c r="C74" s="91"/>
      <c r="D74" s="91"/>
      <c r="E74" s="91"/>
      <c r="F74" s="91"/>
      <c r="G74" s="91"/>
      <c r="H74" s="91"/>
      <c r="I74" s="91"/>
      <c r="J74" s="91"/>
      <c r="K74" s="91"/>
      <c r="L74" s="91"/>
      <c r="M74" s="91"/>
      <c r="N74" s="43"/>
      <c r="O74" s="45"/>
    </row>
    <row r="75">
      <c r="A75" s="90"/>
      <c r="B75" s="91"/>
      <c r="C75" s="91"/>
      <c r="D75" s="91"/>
      <c r="E75" s="91"/>
      <c r="F75" s="91"/>
      <c r="G75" s="91"/>
      <c r="H75" s="91"/>
      <c r="I75" s="91"/>
      <c r="J75" s="91"/>
      <c r="K75" s="91"/>
      <c r="L75" s="91"/>
      <c r="M75" s="91"/>
      <c r="N75" s="43"/>
      <c r="O75" s="45"/>
    </row>
    <row r="76">
      <c r="A76" s="90"/>
      <c r="B76" s="91"/>
      <c r="C76" s="91"/>
      <c r="D76" s="91"/>
      <c r="E76" s="91"/>
      <c r="F76" s="91"/>
      <c r="G76" s="91"/>
      <c r="H76" s="91"/>
      <c r="I76" s="91"/>
      <c r="J76" s="91"/>
      <c r="K76" s="91"/>
      <c r="L76" s="91"/>
      <c r="M76" s="91"/>
      <c r="N76" s="43"/>
      <c r="O76" s="45"/>
    </row>
    <row r="77">
      <c r="A77" s="90"/>
      <c r="B77" s="91"/>
      <c r="C77" s="91"/>
      <c r="D77" s="91"/>
      <c r="E77" s="91"/>
      <c r="F77" s="91"/>
      <c r="G77" s="91"/>
      <c r="H77" s="91"/>
      <c r="I77" s="91"/>
      <c r="J77" s="91"/>
      <c r="K77" s="91"/>
      <c r="L77" s="91"/>
      <c r="M77" s="91"/>
      <c r="N77" s="43"/>
      <c r="O77" s="45"/>
    </row>
    <row r="78">
      <c r="A78" s="90"/>
      <c r="B78" s="91"/>
      <c r="C78" s="91"/>
      <c r="D78" s="91"/>
      <c r="E78" s="91"/>
      <c r="F78" s="91"/>
      <c r="G78" s="91"/>
      <c r="H78" s="91"/>
      <c r="I78" s="91"/>
      <c r="J78" s="91"/>
      <c r="K78" s="91"/>
      <c r="L78" s="91"/>
      <c r="M78" s="91"/>
      <c r="N78" s="43"/>
      <c r="O78" s="45"/>
    </row>
    <row r="79">
      <c r="A79" s="90"/>
      <c r="B79" s="91"/>
      <c r="C79" s="91"/>
      <c r="D79" s="91"/>
      <c r="E79" s="91"/>
      <c r="F79" s="91"/>
      <c r="G79" s="91"/>
      <c r="H79" s="91"/>
      <c r="I79" s="91"/>
      <c r="J79" s="91"/>
      <c r="K79" s="91"/>
      <c r="L79" s="91"/>
      <c r="M79" s="91"/>
      <c r="N79" s="43"/>
      <c r="O79" s="45"/>
    </row>
    <row r="80">
      <c r="A80" s="90"/>
      <c r="B80" s="91"/>
      <c r="C80" s="91"/>
      <c r="D80" s="91"/>
      <c r="E80" s="91"/>
      <c r="F80" s="91"/>
      <c r="G80" s="91"/>
      <c r="H80" s="91"/>
      <c r="I80" s="91"/>
      <c r="J80" s="91"/>
      <c r="K80" s="91"/>
      <c r="L80" s="91"/>
      <c r="M80" s="91"/>
      <c r="N80" s="43"/>
      <c r="O80" s="45"/>
    </row>
    <row r="81">
      <c r="A81" s="90"/>
      <c r="B81" s="91"/>
      <c r="C81" s="91"/>
      <c r="D81" s="91"/>
      <c r="E81" s="91"/>
      <c r="F81" s="91"/>
      <c r="G81" s="91"/>
      <c r="H81" s="91"/>
      <c r="I81" s="91"/>
      <c r="J81" s="91"/>
      <c r="K81" s="91"/>
      <c r="L81" s="91"/>
      <c r="M81" s="91"/>
      <c r="N81" s="43"/>
      <c r="O81" s="45"/>
    </row>
    <row r="82">
      <c r="A82" s="90"/>
      <c r="B82" s="91"/>
      <c r="C82" s="91"/>
      <c r="D82" s="91"/>
      <c r="E82" s="91"/>
      <c r="F82" s="91"/>
      <c r="G82" s="91"/>
      <c r="H82" s="91"/>
      <c r="I82" s="91"/>
      <c r="J82" s="91"/>
      <c r="K82" s="91"/>
      <c r="L82" s="91"/>
      <c r="M82" s="91"/>
      <c r="N82" s="43"/>
      <c r="O82" s="45"/>
    </row>
    <row r="83">
      <c r="A83" s="90"/>
      <c r="B83" s="91"/>
      <c r="C83" s="91"/>
      <c r="D83" s="91"/>
      <c r="E83" s="91"/>
      <c r="F83" s="91"/>
      <c r="G83" s="91"/>
      <c r="H83" s="91"/>
      <c r="I83" s="91"/>
      <c r="J83" s="91"/>
      <c r="K83" s="91"/>
      <c r="L83" s="91"/>
      <c r="M83" s="91"/>
      <c r="N83" s="43"/>
      <c r="O83" s="45"/>
    </row>
    <row r="84">
      <c r="A84" s="90"/>
      <c r="B84" s="91"/>
      <c r="C84" s="91"/>
      <c r="D84" s="91"/>
      <c r="E84" s="91"/>
      <c r="F84" s="91"/>
      <c r="G84" s="91"/>
      <c r="H84" s="91"/>
      <c r="I84" s="91"/>
      <c r="J84" s="91"/>
      <c r="K84" s="91"/>
      <c r="L84" s="91"/>
      <c r="M84" s="91"/>
      <c r="N84" s="91"/>
      <c r="O84" s="92"/>
    </row>
    <row r="85">
      <c r="A85" s="90"/>
      <c r="B85" s="91"/>
      <c r="C85" s="91"/>
      <c r="D85" s="91"/>
      <c r="E85" s="91"/>
      <c r="F85" s="91"/>
      <c r="G85" s="91"/>
      <c r="H85" s="91"/>
      <c r="I85" s="91"/>
      <c r="J85" s="91"/>
      <c r="K85" s="91"/>
      <c r="L85" s="91"/>
      <c r="M85" s="91"/>
      <c r="N85" s="91"/>
      <c r="O85" s="92"/>
    </row>
    <row r="86">
      <c r="A86" s="90"/>
      <c r="B86" s="91"/>
      <c r="C86" s="91"/>
      <c r="D86" s="91"/>
      <c r="E86" s="91"/>
      <c r="F86" s="91"/>
      <c r="G86" s="91"/>
      <c r="H86" s="91"/>
      <c r="I86" s="91"/>
      <c r="J86" s="91"/>
      <c r="K86" s="91"/>
      <c r="L86" s="91"/>
      <c r="M86" s="91"/>
      <c r="N86" s="91"/>
      <c r="O86" s="92"/>
    </row>
    <row r="87">
      <c r="A87" s="90"/>
      <c r="B87" s="91"/>
      <c r="C87" s="91"/>
      <c r="D87" s="91"/>
      <c r="E87" s="91"/>
      <c r="F87" s="91"/>
      <c r="G87" s="91"/>
      <c r="H87" s="91"/>
      <c r="I87" s="91"/>
      <c r="J87" s="91"/>
      <c r="K87" s="91"/>
      <c r="L87" s="91"/>
      <c r="M87" s="91"/>
      <c r="N87" s="91"/>
      <c r="O87" s="92"/>
    </row>
    <row r="88">
      <c r="A88" s="90"/>
      <c r="B88" s="91"/>
      <c r="C88" s="91"/>
      <c r="D88" s="91"/>
      <c r="E88" s="91"/>
      <c r="F88" s="91"/>
      <c r="G88" s="91"/>
      <c r="H88" s="91"/>
      <c r="I88" s="91"/>
      <c r="J88" s="91"/>
      <c r="K88" s="91"/>
      <c r="L88" s="91"/>
      <c r="M88" s="91"/>
      <c r="N88" s="91"/>
      <c r="O88" s="92"/>
    </row>
    <row r="89">
      <c r="A89" s="90"/>
      <c r="B89" s="91"/>
      <c r="C89" s="91"/>
      <c r="D89" s="91"/>
      <c r="E89" s="91"/>
      <c r="F89" s="91"/>
      <c r="G89" s="91"/>
      <c r="H89" s="91"/>
      <c r="I89" s="91"/>
      <c r="J89" s="91"/>
      <c r="K89" s="91"/>
      <c r="L89" s="91"/>
      <c r="M89" s="91"/>
      <c r="N89" s="91"/>
      <c r="O89" s="92"/>
    </row>
    <row r="90">
      <c r="A90" s="90"/>
      <c r="B90" s="91"/>
      <c r="C90" s="91"/>
      <c r="D90" s="91"/>
      <c r="E90" s="91"/>
      <c r="F90" s="91"/>
      <c r="G90" s="91"/>
      <c r="H90" s="91"/>
      <c r="I90" s="91"/>
      <c r="J90" s="91"/>
      <c r="K90" s="91"/>
      <c r="L90" s="91"/>
      <c r="M90" s="91"/>
      <c r="N90" s="91"/>
      <c r="O90" s="92"/>
    </row>
    <row r="91">
      <c r="A91" s="90"/>
      <c r="B91" s="91"/>
      <c r="C91" s="91"/>
      <c r="D91" s="91"/>
      <c r="E91" s="91"/>
      <c r="F91" s="91"/>
      <c r="G91" s="91"/>
      <c r="H91" s="91"/>
      <c r="I91" s="91"/>
      <c r="J91" s="91"/>
      <c r="K91" s="91"/>
      <c r="L91" s="91"/>
      <c r="M91" s="91"/>
      <c r="N91" s="91"/>
      <c r="O91" s="92"/>
    </row>
    <row r="92">
      <c r="A92" s="90"/>
      <c r="B92" s="91"/>
      <c r="C92" s="91"/>
      <c r="D92" s="91"/>
      <c r="E92" s="91"/>
      <c r="F92" s="91"/>
      <c r="G92" s="91"/>
      <c r="H92" s="91"/>
      <c r="I92" s="91"/>
      <c r="J92" s="91"/>
      <c r="K92" s="91"/>
      <c r="L92" s="91"/>
      <c r="M92" s="91"/>
      <c r="N92" s="91"/>
      <c r="O92" s="92"/>
    </row>
    <row r="93">
      <c r="A93" s="90"/>
      <c r="B93" s="91"/>
      <c r="C93" s="91"/>
      <c r="D93" s="91"/>
      <c r="E93" s="91"/>
      <c r="F93" s="91"/>
      <c r="G93" s="91"/>
      <c r="H93" s="91"/>
      <c r="I93" s="91"/>
      <c r="J93" s="91"/>
      <c r="K93" s="91"/>
      <c r="L93" s="91"/>
      <c r="M93" s="91"/>
      <c r="N93" s="91"/>
      <c r="O93" s="92"/>
    </row>
    <row r="94">
      <c r="A94" s="90"/>
      <c r="B94" s="91"/>
      <c r="C94" s="91"/>
      <c r="D94" s="91"/>
      <c r="E94" s="91"/>
      <c r="F94" s="91"/>
      <c r="G94" s="91"/>
      <c r="H94" s="91"/>
      <c r="I94" s="91"/>
      <c r="J94" s="91"/>
      <c r="K94" s="91"/>
      <c r="L94" s="91"/>
      <c r="M94" s="91"/>
      <c r="N94" s="91"/>
      <c r="O94" s="92"/>
    </row>
    <row r="95">
      <c r="A95" s="90"/>
      <c r="B95" s="91"/>
      <c r="C95" s="91"/>
      <c r="D95" s="91"/>
      <c r="E95" s="91"/>
      <c r="F95" s="91"/>
      <c r="G95" s="91"/>
      <c r="H95" s="91"/>
      <c r="I95" s="91"/>
      <c r="J95" s="91"/>
      <c r="K95" s="91"/>
      <c r="L95" s="91"/>
      <c r="M95" s="91"/>
      <c r="N95" s="91"/>
      <c r="O95" s="92"/>
    </row>
    <row r="96">
      <c r="A96" s="90"/>
      <c r="B96" s="91"/>
      <c r="C96" s="91"/>
      <c r="D96" s="91"/>
      <c r="E96" s="91"/>
      <c r="F96" s="91"/>
      <c r="G96" s="91"/>
      <c r="H96" s="91"/>
      <c r="I96" s="91"/>
      <c r="J96" s="91"/>
      <c r="K96" s="91"/>
      <c r="L96" s="91"/>
      <c r="M96" s="91"/>
      <c r="N96" s="91"/>
      <c r="O96" s="92"/>
    </row>
    <row r="97">
      <c r="A97" s="93"/>
      <c r="B97" s="94"/>
      <c r="C97" s="94"/>
      <c r="D97" s="94"/>
      <c r="E97" s="94"/>
      <c r="F97" s="94"/>
      <c r="G97" s="94"/>
      <c r="H97" s="94"/>
      <c r="I97" s="94"/>
      <c r="J97" s="94"/>
      <c r="K97" s="94"/>
      <c r="L97" s="94"/>
      <c r="M97" s="94"/>
      <c r="N97" s="94"/>
      <c r="O97" s="95"/>
    </row>
  </sheetData>
  <mergeCells count="31">
    <mergeCell ref="I2:I3"/>
    <mergeCell ref="J2:J3"/>
    <mergeCell ref="K2:K3"/>
    <mergeCell ref="M2:M3"/>
    <mergeCell ref="A1:A3"/>
    <mergeCell ref="B1:B3"/>
    <mergeCell ref="C1:C3"/>
    <mergeCell ref="D1:D3"/>
    <mergeCell ref="E1:E3"/>
    <mergeCell ref="F1:F3"/>
    <mergeCell ref="H1:M1"/>
    <mergeCell ref="A4:G4"/>
    <mergeCell ref="E23:E30"/>
    <mergeCell ref="E32:E44"/>
    <mergeCell ref="E57:E61"/>
    <mergeCell ref="E46:E55"/>
    <mergeCell ref="A45:G45"/>
    <mergeCell ref="A56:G56"/>
    <mergeCell ref="A62:G62"/>
    <mergeCell ref="F53:F55"/>
    <mergeCell ref="D53:D55"/>
    <mergeCell ref="C53:C55"/>
    <mergeCell ref="A53:A55"/>
    <mergeCell ref="B53:B55"/>
    <mergeCell ref="G1:G3"/>
    <mergeCell ref="H2:H3"/>
    <mergeCell ref="E5:E12"/>
    <mergeCell ref="A13:G13"/>
    <mergeCell ref="E14:E21"/>
    <mergeCell ref="A22:G22"/>
    <mergeCell ref="A31:G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56"/>
  </cols>
  <sheetData>
    <row r="1">
      <c r="A1" s="1" t="s">
        <v>1</v>
      </c>
      <c r="B1" s="4" t="s">
        <v>3</v>
      </c>
      <c r="C1" s="6" t="s">
        <v>6</v>
      </c>
      <c r="D1" s="6" t="s">
        <v>8</v>
      </c>
      <c r="E1" s="6" t="s">
        <v>10</v>
      </c>
      <c r="F1" s="6" t="s">
        <v>11</v>
      </c>
      <c r="G1" s="6" t="s">
        <v>12</v>
      </c>
      <c r="H1" s="9" t="s">
        <v>14</v>
      </c>
      <c r="I1" s="10"/>
    </row>
    <row r="2">
      <c r="A2" s="11" t="s">
        <v>18</v>
      </c>
      <c r="B2" s="22">
        <f>SUMIF(WBS_PhanRaCTCongViec!$G$5:$G$12, $A2, WBS_PhanRaCTCongViec!$M$5:$M$12)</f>
        <v>21.63333333</v>
      </c>
      <c r="C2" s="22">
        <f>SUMIF(WBS_PhanRaCTCongViec!$G$14:$G$21, $A2, WBS_PhanRaCTCongViec!$M$14:$M$21)</f>
        <v>17.96666667</v>
      </c>
      <c r="D2" s="22">
        <f>SUMIF(WBS_PhanRaCTCongViec!$G$23:$G$30, $A2, WBS_PhanRaCTCongViec!$M$23:$M$30)</f>
        <v>0</v>
      </c>
      <c r="E2" s="22">
        <f>SUMIF(WBS_PhanRaCTCongViec!$G$32:$G$44, $A2, WBS_PhanRaCTCongViec!$M$32:$M$44)</f>
        <v>0</v>
      </c>
      <c r="F2" s="22">
        <f>SUMIF(WBS_PhanRaCTCongViec!$G$46:$G$53, $A2, WBS_PhanRaCTCongViec!$M$46:$M$55)</f>
        <v>12.28333333</v>
      </c>
      <c r="G2" s="22">
        <f>SUMIF(WBS_PhanRaCTCongViec!$G$57:$G$61, $A2, WBS_PhanRaCTCongViec!$M$57:$M$61)</f>
        <v>3.3</v>
      </c>
      <c r="H2" s="54">
        <f t="shared" ref="H2:H6" si="1">SUM(B2:G2)</f>
        <v>55.18333333</v>
      </c>
      <c r="I2" s="56"/>
    </row>
    <row r="3">
      <c r="A3" s="11" t="s">
        <v>59</v>
      </c>
      <c r="B3" s="22">
        <f>SUMIF(WBS_PhanRaCTCongViec!$G$5:$G$12, $A3, WBS_PhanRaCTCongViec!$M$5:$M$12)</f>
        <v>0</v>
      </c>
      <c r="C3" s="22">
        <f>SUMIF(WBS_PhanRaCTCongViec!$G$14:$G$21, $A3, WBS_PhanRaCTCongViec!$M$14:$M$21)</f>
        <v>0</v>
      </c>
      <c r="D3" s="22">
        <f>SUMIF(WBS_PhanRaCTCongViec!$G$23:$G$30, $A3, WBS_PhanRaCTCongViec!$M$23:$M$30)</f>
        <v>0</v>
      </c>
      <c r="E3" s="22">
        <f>SUMIF(WBS_PhanRaCTCongViec!$G$32:$G$44, $A3, WBS_PhanRaCTCongViec!$M$32:$M$44)</f>
        <v>33.73333333</v>
      </c>
      <c r="F3" s="22">
        <f>SUMIF(WBS_PhanRaCTCongViec!$G$46:$G$53, $A3, WBS_PhanRaCTCongViec!$M$46:$M$55)</f>
        <v>16.86666667</v>
      </c>
      <c r="G3" s="22">
        <f>SUMIF(WBS_PhanRaCTCongViec!$G$57:$G$61, $A3, WBS_PhanRaCTCongViec!$M$57:$M$61)</f>
        <v>3.3</v>
      </c>
      <c r="H3" s="54">
        <f t="shared" si="1"/>
        <v>53.9</v>
      </c>
      <c r="I3" s="56"/>
    </row>
    <row r="4">
      <c r="A4" s="11" t="s">
        <v>83</v>
      </c>
      <c r="B4" s="22">
        <f>SUMIF(WBS_PhanRaCTCongViec!$G$5:$G$12, $A4, WBS_PhanRaCTCongViec!$M$5:$M$12)</f>
        <v>0</v>
      </c>
      <c r="C4" s="22">
        <f>SUMIF(WBS_PhanRaCTCongViec!$G$14:$G$21, $A4, WBS_PhanRaCTCongViec!$M$14:$M$21)</f>
        <v>0</v>
      </c>
      <c r="D4" s="22">
        <f>SUMIF(WBS_PhanRaCTCongViec!$G$23:$G$30, $A4, WBS_PhanRaCTCongViec!$M$23:$M$30)</f>
        <v>18.88333333</v>
      </c>
      <c r="E4" s="22">
        <f>SUMIF(WBS_PhanRaCTCongViec!$G$32:$G$44, $A4, WBS_PhanRaCTCongViec!$M$32:$M$44)</f>
        <v>17.05</v>
      </c>
      <c r="F4" s="22">
        <f>SUMIF(WBS_PhanRaCTCongViec!$G$46:$G$55, $A4, WBS_PhanRaCTCongViec!$M$46:$M$55)</f>
        <v>16.86666667</v>
      </c>
      <c r="G4" s="22">
        <f>SUMIF(WBS_PhanRaCTCongViec!$G$57:$G$61, $A4, WBS_PhanRaCTCongViec!$M$57:$M$61)</f>
        <v>0</v>
      </c>
      <c r="H4" s="54">
        <f t="shared" si="1"/>
        <v>52.8</v>
      </c>
      <c r="I4" s="56"/>
    </row>
    <row r="5">
      <c r="A5" s="11" t="s">
        <v>100</v>
      </c>
      <c r="B5" s="22">
        <f>SUMIF(WBS_PhanRaCTCongViec!$G$5:$G$12, $A5, WBS_PhanRaCTCongViec!$M$5:$M$12)</f>
        <v>0</v>
      </c>
      <c r="C5" s="22">
        <f>SUMIF(WBS_PhanRaCTCongViec!$G$14:$G$21, $A5, WBS_PhanRaCTCongViec!$M$14:$M$21)</f>
        <v>0</v>
      </c>
      <c r="D5" s="22">
        <f>SUMIF(WBS_PhanRaCTCongViec!$G$23:$G$30, $A5, WBS_PhanRaCTCongViec!$M$23:$M$30)</f>
        <v>22.18333333</v>
      </c>
      <c r="E5" s="22">
        <f>SUMIF(WBS_PhanRaCTCongViec!$G$32:$G$44, $A5, WBS_PhanRaCTCongViec!$M$32:$M$44)</f>
        <v>17.96666667</v>
      </c>
      <c r="F5" s="22">
        <f>SUMIF(WBS_PhanRaCTCongViec!$G$46:$G$55, $A5, WBS_PhanRaCTCongViec!$M$46:$M$55)</f>
        <v>6.783333333</v>
      </c>
      <c r="G5" s="22">
        <f>SUMIF(WBS_PhanRaCTCongViec!$G$57:$G$61, $A5, WBS_PhanRaCTCongViec!$M$57:$M$61)</f>
        <v>3.483333333</v>
      </c>
      <c r="H5" s="54">
        <f t="shared" si="1"/>
        <v>50.41666667</v>
      </c>
      <c r="I5" s="56"/>
    </row>
    <row r="6">
      <c r="A6" s="70" t="s">
        <v>94</v>
      </c>
      <c r="B6" s="71">
        <f>SUMIF(WBS_PhanRaCTCongViec!$G$5:$G$12, $A6, WBS_PhanRaCTCongViec!$M$5:$M$12)</f>
        <v>14.66666667</v>
      </c>
      <c r="C6" s="71">
        <f>SUMIF(WBS_PhanRaCTCongViec!$G$14:$G$21, $A6, WBS_PhanRaCTCongViec!$M$14:$M$21)</f>
        <v>25.85</v>
      </c>
      <c r="D6" s="71">
        <f>SUMIF(WBS_PhanRaCTCongViec!$G$23:$G$30, $A6, WBS_PhanRaCTCongViec!$M$23:$M$30)</f>
        <v>0</v>
      </c>
      <c r="E6" s="71">
        <f>SUMIF(WBS_PhanRaCTCongViec!$G$32:$G$44, $A6, WBS_PhanRaCTCongViec!$M$32:$M$44)</f>
        <v>0</v>
      </c>
      <c r="F6" s="71">
        <f>SUMIF(WBS_PhanRaCTCongViec!$G$46:$G$55, $A6, WBS_PhanRaCTCongViec!$M$46:$M$55)</f>
        <v>3.483333333</v>
      </c>
      <c r="G6" s="71">
        <f>SUMIF(WBS_PhanRaCTCongViec!$G$57:$G$61, $A6, WBS_PhanRaCTCongViec!$M$57:$M$61)</f>
        <v>8.066666667</v>
      </c>
      <c r="H6" s="72">
        <f t="shared" si="1"/>
        <v>52.06666667</v>
      </c>
      <c r="I6" s="56"/>
    </row>
    <row r="7">
      <c r="A7" s="73"/>
      <c r="B7" s="74"/>
      <c r="C7" s="74"/>
      <c r="D7" s="74"/>
      <c r="E7" s="74"/>
      <c r="F7" s="74"/>
      <c r="G7" s="74"/>
      <c r="H7" s="74"/>
      <c r="I7" s="75"/>
    </row>
    <row r="8">
      <c r="A8" s="76"/>
      <c r="B8" s="77"/>
      <c r="C8" s="77"/>
      <c r="D8" s="77"/>
      <c r="E8" s="77"/>
      <c r="F8" s="77"/>
      <c r="G8" s="77"/>
      <c r="H8" s="77"/>
      <c r="I8" s="7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 width="28.0"/>
    <col customWidth="1" min="5" max="5" width="6.22"/>
  </cols>
  <sheetData>
    <row r="1">
      <c r="A1" s="3" t="s">
        <v>2</v>
      </c>
      <c r="B1" s="5"/>
      <c r="C1" s="5"/>
      <c r="D1" s="5"/>
      <c r="E1" s="5"/>
    </row>
    <row r="2">
      <c r="A2" s="3" t="s">
        <v>9</v>
      </c>
      <c r="B2" s="5"/>
      <c r="C2" s="5"/>
      <c r="D2" s="5"/>
      <c r="E2" s="5"/>
    </row>
    <row r="3">
      <c r="A3" s="8"/>
      <c r="B3" s="5"/>
      <c r="C3" s="5"/>
      <c r="D3" s="5"/>
      <c r="E3" s="5"/>
    </row>
    <row r="4">
      <c r="A4" s="13" t="s">
        <v>17</v>
      </c>
      <c r="B4" s="5"/>
      <c r="C4" s="5"/>
      <c r="D4" s="5"/>
      <c r="E4" s="5"/>
    </row>
    <row r="5">
      <c r="A5" s="17" t="s">
        <v>20</v>
      </c>
      <c r="E5" s="5"/>
    </row>
    <row r="6">
      <c r="A6" s="17" t="s">
        <v>21</v>
      </c>
      <c r="E6" s="5"/>
    </row>
    <row r="7">
      <c r="A7" s="17" t="s">
        <v>22</v>
      </c>
      <c r="E7" s="5"/>
    </row>
    <row r="8">
      <c r="A8" s="21" t="s">
        <v>24</v>
      </c>
      <c r="E8" s="5"/>
    </row>
    <row r="9">
      <c r="A9" s="17" t="s">
        <v>26</v>
      </c>
      <c r="E9" s="5"/>
    </row>
    <row r="10">
      <c r="A10" s="17" t="s">
        <v>28</v>
      </c>
      <c r="E10" s="5"/>
    </row>
    <row r="11">
      <c r="A11" s="17" t="s">
        <v>30</v>
      </c>
      <c r="E11" s="5"/>
    </row>
    <row r="12">
      <c r="A12" s="17" t="s">
        <v>33</v>
      </c>
      <c r="E12" s="5"/>
    </row>
    <row r="13">
      <c r="A13" s="17" t="s">
        <v>34</v>
      </c>
      <c r="E13" s="5"/>
    </row>
    <row r="14">
      <c r="A14" s="17" t="s">
        <v>35</v>
      </c>
      <c r="E14" s="5"/>
    </row>
    <row r="15">
      <c r="A15" s="17" t="s">
        <v>36</v>
      </c>
      <c r="E15" s="5"/>
    </row>
    <row r="16">
      <c r="A16" s="28" t="s">
        <v>37</v>
      </c>
      <c r="E16" s="5"/>
    </row>
    <row r="17">
      <c r="A17" s="28" t="s">
        <v>38</v>
      </c>
      <c r="E17" s="5"/>
    </row>
    <row r="18">
      <c r="A18" s="32" t="s">
        <v>39</v>
      </c>
      <c r="B18" s="32" t="s">
        <v>41</v>
      </c>
      <c r="C18" s="35" t="s">
        <v>42</v>
      </c>
      <c r="D18" s="35" t="s">
        <v>43</v>
      </c>
      <c r="E18" s="5"/>
    </row>
    <row r="19">
      <c r="A19" s="37"/>
      <c r="B19" s="37"/>
      <c r="C19" s="35" t="s">
        <v>44</v>
      </c>
      <c r="D19" s="35" t="s">
        <v>45</v>
      </c>
      <c r="E19" s="5"/>
    </row>
    <row r="20">
      <c r="A20" s="39" t="s">
        <v>46</v>
      </c>
      <c r="B20" s="41" t="s">
        <v>47</v>
      </c>
      <c r="C20" s="41" t="s">
        <v>48</v>
      </c>
      <c r="D20" s="44" t="s">
        <v>49</v>
      </c>
      <c r="E20" s="5"/>
    </row>
    <row r="21">
      <c r="A21" s="46" t="s">
        <v>50</v>
      </c>
      <c r="B21" s="39" t="s">
        <v>51</v>
      </c>
      <c r="C21" s="39" t="s">
        <v>52</v>
      </c>
      <c r="D21" s="44" t="s">
        <v>53</v>
      </c>
      <c r="E21" s="5"/>
    </row>
    <row r="22">
      <c r="A22" s="46" t="s">
        <v>54</v>
      </c>
      <c r="B22" s="39" t="s">
        <v>18</v>
      </c>
      <c r="C22" s="39" t="s">
        <v>55</v>
      </c>
      <c r="D22" s="44" t="s">
        <v>56</v>
      </c>
      <c r="E22" s="5"/>
    </row>
    <row r="23">
      <c r="A23" s="39" t="s">
        <v>58</v>
      </c>
      <c r="B23" s="39" t="s">
        <v>59</v>
      </c>
      <c r="C23" s="39" t="s">
        <v>55</v>
      </c>
      <c r="D23" s="44" t="s">
        <v>60</v>
      </c>
      <c r="E23" s="5"/>
    </row>
    <row r="24">
      <c r="A24" s="50" t="s">
        <v>62</v>
      </c>
      <c r="B24" s="51"/>
      <c r="C24" s="51"/>
      <c r="D24" s="53"/>
      <c r="E24" s="5"/>
    </row>
    <row r="25">
      <c r="A25" s="13"/>
      <c r="B25" s="5"/>
      <c r="C25" s="5"/>
      <c r="D25" s="5"/>
      <c r="E25" s="5"/>
    </row>
    <row r="26">
      <c r="A26" s="13"/>
      <c r="B26" s="5"/>
      <c r="C26" s="5"/>
      <c r="D26" s="5"/>
      <c r="E26" s="5"/>
    </row>
    <row r="27">
      <c r="A27" s="13" t="s">
        <v>66</v>
      </c>
      <c r="B27" s="5"/>
      <c r="C27" s="5"/>
      <c r="D27" s="5"/>
      <c r="E27" s="5"/>
    </row>
    <row r="28">
      <c r="A28" s="57" t="s">
        <v>67</v>
      </c>
      <c r="E28" s="5"/>
    </row>
    <row r="29">
      <c r="A29" s="58" t="s">
        <v>68</v>
      </c>
      <c r="B29" s="5"/>
      <c r="C29" s="5"/>
      <c r="D29" s="5"/>
      <c r="E29" s="5"/>
    </row>
    <row r="30">
      <c r="A30" s="46" t="s">
        <v>69</v>
      </c>
      <c r="B30" s="59" t="s">
        <v>70</v>
      </c>
      <c r="C30" s="51"/>
      <c r="D30" s="53"/>
      <c r="E30" s="5"/>
    </row>
    <row r="31">
      <c r="A31" s="46" t="s">
        <v>71</v>
      </c>
      <c r="B31" s="59" t="s">
        <v>72</v>
      </c>
      <c r="C31" s="51"/>
      <c r="D31" s="53"/>
      <c r="E31" s="5"/>
    </row>
    <row r="32">
      <c r="A32" s="46" t="s">
        <v>73</v>
      </c>
      <c r="B32" s="59" t="s">
        <v>48</v>
      </c>
      <c r="C32" s="51"/>
      <c r="D32" s="53"/>
      <c r="E32" s="5"/>
    </row>
    <row r="33">
      <c r="A33" s="46" t="s">
        <v>13</v>
      </c>
      <c r="B33" s="59" t="s">
        <v>74</v>
      </c>
      <c r="C33" s="51"/>
      <c r="D33" s="53"/>
      <c r="E33" s="5"/>
    </row>
    <row r="34">
      <c r="A34" s="46" t="s">
        <v>54</v>
      </c>
      <c r="B34" s="59" t="s">
        <v>18</v>
      </c>
      <c r="C34" s="51"/>
      <c r="D34" s="53"/>
      <c r="E34" s="5"/>
    </row>
    <row r="35">
      <c r="A35" s="46" t="s">
        <v>75</v>
      </c>
      <c r="B35" s="59" t="s">
        <v>18</v>
      </c>
      <c r="C35" s="51"/>
      <c r="D35" s="53"/>
      <c r="E35" s="5"/>
    </row>
    <row r="36">
      <c r="A36" s="46" t="s">
        <v>76</v>
      </c>
      <c r="B36" s="59" t="s">
        <v>77</v>
      </c>
      <c r="C36" s="51"/>
      <c r="D36" s="53"/>
      <c r="E36" s="5"/>
    </row>
    <row r="37">
      <c r="A37" s="46" t="s">
        <v>78</v>
      </c>
      <c r="B37" s="59" t="s">
        <v>79</v>
      </c>
      <c r="C37" s="51"/>
      <c r="D37" s="53"/>
      <c r="E37" s="5"/>
    </row>
    <row r="38">
      <c r="A38" s="62"/>
      <c r="B38" s="5"/>
      <c r="C38" s="5"/>
      <c r="D38" s="5"/>
      <c r="E38" s="5"/>
    </row>
    <row r="39">
      <c r="A39" s="5"/>
      <c r="B39" s="5"/>
      <c r="C39" s="57" t="s">
        <v>54</v>
      </c>
      <c r="E39" s="5"/>
    </row>
    <row r="40">
      <c r="A40" s="5"/>
      <c r="B40" s="5"/>
      <c r="C40" s="64" t="s">
        <v>82</v>
      </c>
      <c r="E40" s="5"/>
    </row>
    <row r="41">
      <c r="A41" s="5"/>
      <c r="B41" s="5"/>
      <c r="C41" s="5"/>
      <c r="D41" s="5"/>
      <c r="E41" s="5"/>
    </row>
    <row r="42">
      <c r="A42" s="3"/>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sheetData>
  <mergeCells count="27">
    <mergeCell ref="A5:D5"/>
    <mergeCell ref="A6:D6"/>
    <mergeCell ref="A7:D7"/>
    <mergeCell ref="A8:D8"/>
    <mergeCell ref="A9:D9"/>
    <mergeCell ref="A10:D10"/>
    <mergeCell ref="A11:D11"/>
    <mergeCell ref="A12:D12"/>
    <mergeCell ref="A13:D13"/>
    <mergeCell ref="A14:D14"/>
    <mergeCell ref="A15:D15"/>
    <mergeCell ref="A16:D16"/>
    <mergeCell ref="A17:D17"/>
    <mergeCell ref="A18:A19"/>
    <mergeCell ref="B34:D34"/>
    <mergeCell ref="B35:D35"/>
    <mergeCell ref="B36:D36"/>
    <mergeCell ref="B37:D37"/>
    <mergeCell ref="C39:D39"/>
    <mergeCell ref="C40:D40"/>
    <mergeCell ref="B18:B19"/>
    <mergeCell ref="A24:D24"/>
    <mergeCell ref="A28:D28"/>
    <mergeCell ref="B30:D30"/>
    <mergeCell ref="B31:D31"/>
    <mergeCell ref="B32:D32"/>
    <mergeCell ref="B33:D33"/>
  </mergeCells>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22997714-F58B-4033-8EDC-AC832A301838}"/>
</file>

<file path=customXml/itemProps2.xml><?xml version="1.0" encoding="utf-8"?>
<ds:datastoreItem xmlns:ds="http://schemas.openxmlformats.org/officeDocument/2006/customXml" ds:itemID="{A4CEFD97-F78A-4DD4-A6BC-F9B07D7CDAAC}"/>
</file>

<file path=customXml/itemProps3.xml><?xml version="1.0" encoding="utf-8"?>
<ds:datastoreItem xmlns:ds="http://schemas.openxmlformats.org/officeDocument/2006/customXml" ds:itemID="{B7E5F8EB-AA02-419B-AE65-035F65A994F3}"/>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MINHNHAT</dc:creator>
  <dcterms:created xsi:type="dcterms:W3CDTF">2010-07-15T23:19:21Z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ies>
</file>