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Duong Duy\Desktop\"/>
    </mc:Choice>
  </mc:AlternateContent>
  <xr:revisionPtr revIDLastSave="70" documentId="13_ncr:1_{4C787941-02E5-40DC-A528-E76B97EC5D98}" xr6:coauthVersionLast="47" xr6:coauthVersionMax="47" xr10:uidLastSave="{2023D45A-D4FC-4A27-9B79-8F3AD9502246}"/>
  <bookViews>
    <workbookView xWindow="-108" yWindow="-108" windowWidth="23256" windowHeight="12456" xr2:uid="{00000000-000D-0000-FFFF-FFFF00000000}"/>
  </bookViews>
  <sheets>
    <sheet name="WBS_PhanRaCTCongViec" sheetId="1" r:id="rId1"/>
    <sheet name="TonChiDA" sheetId="2" r:id="rId2"/>
  </sheets>
  <definedNames>
    <definedName name="_Toc403047573" localSheetId="1">TonChiDA!$A$4</definedName>
    <definedName name="_Toc403047574" localSheetId="1">TonChiDA!$A$28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H4BNz/ZYGR5ZoU9CLXJstE8VeQASn2/eO0yZbV8Wz1E="/>
    </ext>
  </extLst>
</workbook>
</file>

<file path=xl/calcChain.xml><?xml version="1.0" encoding="utf-8"?>
<calcChain xmlns="http://schemas.openxmlformats.org/spreadsheetml/2006/main">
  <c r="O6" i="1" l="1"/>
  <c r="P6" i="1"/>
  <c r="N7" i="1"/>
  <c r="O7" i="1"/>
  <c r="P7" i="1"/>
  <c r="N8" i="1"/>
  <c r="O8" i="1"/>
  <c r="P8" i="1"/>
  <c r="N9" i="1"/>
  <c r="O9" i="1"/>
  <c r="P9" i="1"/>
  <c r="O10" i="1"/>
  <c r="P10" i="1"/>
  <c r="O11" i="1"/>
  <c r="P11" i="1"/>
  <c r="N12" i="1"/>
  <c r="O12" i="1"/>
  <c r="P12" i="1"/>
  <c r="O13" i="1"/>
  <c r="P13" i="1"/>
  <c r="O14" i="1"/>
  <c r="P14" i="1"/>
  <c r="O15" i="1"/>
  <c r="P15" i="1"/>
  <c r="N16" i="1"/>
  <c r="O16" i="1"/>
  <c r="P16" i="1"/>
  <c r="O17" i="1"/>
  <c r="P17" i="1"/>
  <c r="O18" i="1"/>
  <c r="P18" i="1"/>
  <c r="O19" i="1"/>
  <c r="P19" i="1"/>
  <c r="O20" i="1"/>
  <c r="P20" i="1"/>
  <c r="O21" i="1"/>
  <c r="P21" i="1"/>
  <c r="O22" i="1"/>
  <c r="P22" i="1"/>
  <c r="N23" i="1"/>
  <c r="O23" i="1"/>
  <c r="P23" i="1"/>
  <c r="N24" i="1"/>
  <c r="P24" i="1"/>
  <c r="N25" i="1"/>
  <c r="P25" i="1"/>
  <c r="N26" i="1"/>
  <c r="P26" i="1"/>
  <c r="N27" i="1"/>
  <c r="P27" i="1"/>
  <c r="N28" i="1"/>
  <c r="P28" i="1"/>
  <c r="N29" i="1"/>
  <c r="O29" i="1"/>
  <c r="P29" i="1"/>
  <c r="N30" i="1"/>
  <c r="O30" i="1"/>
  <c r="N31" i="1"/>
  <c r="O31" i="1"/>
  <c r="N32" i="1"/>
  <c r="O32" i="1"/>
  <c r="N33" i="1"/>
  <c r="O33" i="1"/>
  <c r="N34" i="1"/>
  <c r="O34" i="1"/>
  <c r="N35" i="1"/>
  <c r="O35" i="1"/>
  <c r="P35" i="1"/>
  <c r="N36" i="1"/>
  <c r="O36" i="1"/>
  <c r="P36" i="1"/>
  <c r="O37" i="1"/>
  <c r="P37" i="1"/>
  <c r="O38" i="1"/>
  <c r="P38" i="1"/>
  <c r="N39" i="1"/>
  <c r="O39" i="1"/>
  <c r="P39" i="1"/>
  <c r="O40" i="1"/>
  <c r="P40" i="1"/>
  <c r="N41" i="1"/>
  <c r="O41" i="1"/>
  <c r="P41" i="1"/>
  <c r="N42" i="1"/>
  <c r="P42" i="1"/>
  <c r="N43" i="1"/>
  <c r="P43" i="1"/>
  <c r="N44" i="1"/>
  <c r="P44" i="1"/>
  <c r="N45" i="1"/>
  <c r="P45" i="1"/>
  <c r="N46" i="1"/>
  <c r="O46" i="1"/>
  <c r="P46" i="1"/>
  <c r="N47" i="1"/>
  <c r="O47" i="1"/>
  <c r="N48" i="1"/>
  <c r="O48" i="1"/>
  <c r="N49" i="1"/>
  <c r="P49" i="1"/>
  <c r="N50" i="1"/>
  <c r="O50" i="1"/>
  <c r="N51" i="1"/>
  <c r="O51" i="1"/>
  <c r="N52" i="1"/>
  <c r="P52" i="1"/>
  <c r="N53" i="1"/>
  <c r="O53" i="1"/>
  <c r="O54" i="1"/>
  <c r="P54" i="1"/>
  <c r="N55" i="1"/>
  <c r="O55" i="1"/>
  <c r="P55" i="1"/>
  <c r="N56" i="1"/>
  <c r="O56" i="1"/>
  <c r="P56" i="1"/>
  <c r="N57" i="1"/>
  <c r="O57" i="1"/>
  <c r="N58" i="1"/>
  <c r="O58" i="1"/>
  <c r="O59" i="1"/>
  <c r="N60" i="1"/>
  <c r="N61" i="1"/>
  <c r="O61" i="1"/>
  <c r="P61" i="1"/>
  <c r="N62" i="1"/>
  <c r="P62" i="1"/>
  <c r="N63" i="1"/>
  <c r="P63" i="1"/>
  <c r="N64" i="1"/>
  <c r="O64" i="1"/>
  <c r="P64" i="1"/>
  <c r="O65" i="1"/>
  <c r="P65" i="1"/>
  <c r="N66" i="1"/>
  <c r="P5" i="1"/>
  <c r="O5" i="1"/>
  <c r="M5" i="1"/>
  <c r="M6"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40" i="1"/>
  <c r="M41" i="1"/>
  <c r="M42" i="1"/>
  <c r="M43" i="1"/>
  <c r="M44" i="1"/>
  <c r="M45" i="1"/>
  <c r="M46" i="1"/>
  <c r="M47" i="1"/>
  <c r="M48" i="1"/>
  <c r="M49" i="1"/>
  <c r="M50" i="1"/>
  <c r="M51" i="1"/>
  <c r="M52" i="1"/>
  <c r="M53" i="1"/>
  <c r="M54" i="1"/>
  <c r="M55" i="1"/>
  <c r="M56" i="1"/>
  <c r="M57" i="1"/>
  <c r="M58" i="1"/>
  <c r="M59" i="1"/>
  <c r="M60" i="1"/>
  <c r="M61" i="1"/>
  <c r="M62" i="1"/>
  <c r="M63" i="1"/>
  <c r="M65" i="1"/>
  <c r="M66" i="1"/>
  <c r="H5" i="1"/>
  <c r="H25" i="1"/>
  <c r="J25" i="1" s="1"/>
  <c r="O25" i="1" s="1"/>
  <c r="H26" i="1"/>
  <c r="J26" i="1" s="1"/>
  <c r="O26" i="1" s="1"/>
  <c r="H27" i="1"/>
  <c r="J27" i="1" s="1"/>
  <c r="O27" i="1" s="1"/>
  <c r="H28" i="1"/>
  <c r="J28" i="1" s="1"/>
  <c r="O28" i="1" s="1"/>
  <c r="H29" i="1"/>
  <c r="J29" i="1" s="1"/>
  <c r="H30" i="1"/>
  <c r="J30" i="1" s="1"/>
  <c r="P30" i="1" s="1"/>
  <c r="H31" i="1"/>
  <c r="J31" i="1" s="1"/>
  <c r="P31" i="1" s="1"/>
  <c r="H32" i="1"/>
  <c r="J32" i="1" s="1"/>
  <c r="P32" i="1" s="1"/>
  <c r="H33" i="1"/>
  <c r="J33" i="1" s="1"/>
  <c r="P33" i="1" s="1"/>
  <c r="H34" i="1"/>
  <c r="J34" i="1" s="1"/>
  <c r="P34" i="1" s="1"/>
  <c r="H35" i="1"/>
  <c r="J35" i="1" s="1"/>
  <c r="H36" i="1"/>
  <c r="J36" i="1" s="1"/>
  <c r="H37" i="1"/>
  <c r="J37" i="1" s="1"/>
  <c r="N37" i="1" s="1"/>
  <c r="H38" i="1"/>
  <c r="J38" i="1" s="1"/>
  <c r="N38" i="1" s="1"/>
  <c r="H39" i="1"/>
  <c r="J39" i="1" s="1"/>
  <c r="M39" i="1" s="1"/>
  <c r="H40" i="1"/>
  <c r="J40" i="1" s="1"/>
  <c r="N40" i="1" s="1"/>
  <c r="H41" i="1"/>
  <c r="H42" i="1"/>
  <c r="J42" i="1" s="1"/>
  <c r="O42" i="1" s="1"/>
  <c r="H43" i="1"/>
  <c r="J43" i="1" s="1"/>
  <c r="O43" i="1" s="1"/>
  <c r="H44" i="1"/>
  <c r="J44" i="1" s="1"/>
  <c r="O44" i="1" s="1"/>
  <c r="H45" i="1"/>
  <c r="J45" i="1" s="1"/>
  <c r="O45" i="1" s="1"/>
  <c r="H47" i="1"/>
  <c r="J47" i="1" s="1"/>
  <c r="P47" i="1" s="1"/>
  <c r="H48" i="1"/>
  <c r="J48" i="1" s="1"/>
  <c r="P48" i="1" s="1"/>
  <c r="H49" i="1"/>
  <c r="J49" i="1" s="1"/>
  <c r="O49" i="1" s="1"/>
  <c r="H50" i="1"/>
  <c r="J50" i="1" s="1"/>
  <c r="P50" i="1" s="1"/>
  <c r="H51" i="1"/>
  <c r="J51" i="1" s="1"/>
  <c r="P51" i="1" s="1"/>
  <c r="H52" i="1"/>
  <c r="J52" i="1" s="1"/>
  <c r="O52" i="1" s="1"/>
  <c r="H53" i="1"/>
  <c r="J53" i="1" s="1"/>
  <c r="P53" i="1" s="1"/>
  <c r="H54" i="1"/>
  <c r="J54" i="1" s="1"/>
  <c r="N54" i="1" s="1"/>
  <c r="H57" i="1"/>
  <c r="J57" i="1" s="1"/>
  <c r="P57" i="1" s="1"/>
  <c r="H58" i="1"/>
  <c r="J58" i="1" s="1"/>
  <c r="P58" i="1" s="1"/>
  <c r="H59" i="1"/>
  <c r="J59" i="1" s="1"/>
  <c r="H60" i="1"/>
  <c r="J60" i="1" s="1"/>
  <c r="H61" i="1"/>
  <c r="H62" i="1"/>
  <c r="J62" i="1" s="1"/>
  <c r="O62" i="1" s="1"/>
  <c r="H63" i="1"/>
  <c r="J63" i="1" s="1"/>
  <c r="O63" i="1" s="1"/>
  <c r="H64" i="1"/>
  <c r="J64" i="1" s="1"/>
  <c r="M64" i="1" s="1"/>
  <c r="H65" i="1"/>
  <c r="J65" i="1" s="1"/>
  <c r="N65" i="1" s="1"/>
  <c r="H66" i="1"/>
  <c r="H24" i="1"/>
  <c r="J24" i="1" s="1"/>
  <c r="O24" i="1" s="1"/>
  <c r="H19" i="1"/>
  <c r="J19" i="1" s="1"/>
  <c r="N19" i="1" s="1"/>
  <c r="H6" i="1"/>
  <c r="J6" i="1" s="1"/>
  <c r="N6" i="1" s="1"/>
  <c r="H7" i="1"/>
  <c r="J7" i="1" s="1"/>
  <c r="M7" i="1" s="1"/>
  <c r="H8" i="1"/>
  <c r="J8" i="1" s="1"/>
  <c r="M8" i="1" s="1"/>
  <c r="H10" i="1"/>
  <c r="J10" i="1" s="1"/>
  <c r="N10" i="1" s="1"/>
  <c r="H11" i="1"/>
  <c r="J11" i="1" s="1"/>
  <c r="N11" i="1" s="1"/>
  <c r="H13" i="1"/>
  <c r="J13" i="1" s="1"/>
  <c r="N13" i="1" s="1"/>
  <c r="H14" i="1"/>
  <c r="J14" i="1" s="1"/>
  <c r="N14" i="1" s="1"/>
  <c r="H15" i="1"/>
  <c r="J15" i="1" s="1"/>
  <c r="N15" i="1" s="1"/>
  <c r="H17" i="1"/>
  <c r="J17" i="1" s="1"/>
  <c r="N17" i="1" s="1"/>
  <c r="H18" i="1"/>
  <c r="J18" i="1" s="1"/>
  <c r="N18" i="1" s="1"/>
  <c r="H20" i="1"/>
  <c r="J20" i="1" s="1"/>
  <c r="N20" i="1" s="1"/>
  <c r="H21" i="1"/>
  <c r="J21" i="1" s="1"/>
  <c r="N21" i="1" s="1"/>
  <c r="H22" i="1"/>
  <c r="J22" i="1" s="1"/>
  <c r="N22" i="1" s="1"/>
  <c r="J41" i="1"/>
  <c r="J66" i="1"/>
  <c r="J5" i="1"/>
  <c r="N5" i="1" s="1"/>
  <c r="H4" i="1"/>
  <c r="O66" i="1" l="1"/>
  <c r="P66" i="1"/>
  <c r="O60" i="1"/>
  <c r="P60" i="1"/>
  <c r="N59" i="1"/>
  <c r="P59" i="1"/>
  <c r="P4" i="1"/>
  <c r="O4" i="1"/>
  <c r="M4" i="1"/>
  <c r="N4" i="1"/>
  <c r="Q4" i="1" l="1"/>
</calcChain>
</file>

<file path=xl/sharedStrings.xml><?xml version="1.0" encoding="utf-8"?>
<sst xmlns="http://schemas.openxmlformats.org/spreadsheetml/2006/main" count="248" uniqueCount="194">
  <si>
    <t>STT</t>
  </si>
  <si>
    <t>Tên công việc</t>
  </si>
  <si>
    <t>Mô tả</t>
  </si>
  <si>
    <t>MO</t>
  </si>
  <si>
    <t>ML</t>
  </si>
  <si>
    <t>MP</t>
  </si>
  <si>
    <t>EST</t>
  </si>
  <si>
    <t>Tăng thêm</t>
  </si>
  <si>
    <t>EST chốt</t>
  </si>
  <si>
    <t>Người thực hiện</t>
  </si>
  <si>
    <t>Duy</t>
  </si>
  <si>
    <t>Đại</t>
  </si>
  <si>
    <t>Quyền</t>
  </si>
  <si>
    <t>Giang</t>
  </si>
  <si>
    <t>Tổng</t>
  </si>
  <si>
    <t>Khởi tạo và Khảo sát yêu cầu</t>
  </si>
  <si>
    <t>Khảo sát nghiệp vụ cửa hàng</t>
  </si>
  <si>
    <t>Khảo sát luồng nhập xuất, bảo hành và quản lý Serial/IMEI tại cửa hàng điện tử</t>
  </si>
  <si>
    <t>Nguyễn Hữu Đại</t>
  </si>
  <si>
    <t>Phân tích &amp; Đặc tả yêu cầu (SRS)</t>
  </si>
  <si>
    <t>Viết tài liệu đặc tả yêu cầu chức năng và phi chức năng để báo cáo</t>
  </si>
  <si>
    <t>0.8</t>
  </si>
  <si>
    <t>Chốt yêu cầu dự án</t>
  </si>
  <si>
    <t>Họp đánh giá tài liệu SRS và chốt phạm vi dự án</t>
  </si>
  <si>
    <t>0.3</t>
  </si>
  <si>
    <t>Dương Đức Duy</t>
  </si>
  <si>
    <t>Lập kế hoạch dự án</t>
  </si>
  <si>
    <t>Lập tài liệu kế hoạch, phân bổ nguồn lực, quản lý rủi ro</t>
  </si>
  <si>
    <t>0.5</t>
  </si>
  <si>
    <t>Phân tích thiết kế hệ thống</t>
  </si>
  <si>
    <t>Xác định ma trận yêu cầu</t>
  </si>
  <si>
    <t>Lập bảng xác định các yêu cầu chức năng và phân vai trò thực hiện.</t>
  </si>
  <si>
    <t>Thiết kế kiến trúc hệ thống</t>
  </si>
  <si>
    <t>Đưa ra cái nhìn tổng quan về cơ sở hạ tầng, sơ đồ khối và luồng hệ thống.</t>
  </si>
  <si>
    <t>Thiết kế biểu đồ UC của hệ thống</t>
  </si>
  <si>
    <t>Xác định và phân tích Actor của hệ thống</t>
  </si>
  <si>
    <t>Xác định các tác nhân (Admin, Nhân viên bán hàng, Thủ kho).</t>
  </si>
  <si>
    <t>Xác định và phân tích các User Case</t>
  </si>
  <si>
    <t>Xác định các chức năng chính mà dự án cần thực hiện.</t>
  </si>
  <si>
    <t>Vẽ biểu đồ User Case tổng quát</t>
  </si>
  <si>
    <t>Khái quát hóa các chức năng của hệ thống cửa hàng điện tử.</t>
  </si>
  <si>
    <t>Đặc tả User Case</t>
  </si>
  <si>
    <t>Use Case đăng nhập và phân quyền</t>
  </si>
  <si>
    <t>Minh họa mối quan hệ các yếu tố đăng nhập cho nhân viên.</t>
  </si>
  <si>
    <t>Use Case quản lý kho &amp; Serial/IMEI</t>
  </si>
  <si>
    <t>Minh họa chức năng nhập/xuất kho và theo dõi hàng hóa có Serial.</t>
  </si>
  <si>
    <t>Use Case quản lý bán hàng (POS)</t>
  </si>
  <si>
    <t>Minh họa chức năng lên đơn, tính tiền, trừ tồn kho tại quầy.</t>
  </si>
  <si>
    <t>Use Case quản lý bảo hành</t>
  </si>
  <si>
    <t>Minh họa chức năng tiếp nhận lỗi, tra cứu hạn bảo hành, đổi trả.</t>
  </si>
  <si>
    <t>Use Case báo cáo thống kê</t>
  </si>
  <si>
    <t>Minh họa chức năng thống kê doanh thu và hàng tồn.</t>
  </si>
  <si>
    <t>Xác định biểu đồ lớp</t>
  </si>
  <si>
    <t>Xây dựng mô hình lớp (thuộc tính, hành động) cho toàn hệ thống.</t>
  </si>
  <si>
    <t>Xác định biểu đồ tuần tự</t>
  </si>
  <si>
    <t>Biểu đồ tuần tự đăng nhập</t>
  </si>
  <si>
    <t>Xây dựng trình tự các bước khi xác thực tài khoản.</t>
  </si>
  <si>
    <t>Nguyễn Long Quyền</t>
  </si>
  <si>
    <t>Biểu đồ tuần tự quản lý kho</t>
  </si>
  <si>
    <t>Xây dựng trình tự các bước khi xử lý nghiệp vụ nhập/xuất kho.</t>
  </si>
  <si>
    <t>Biểu đồ tuần tự bán hàng</t>
  </si>
  <si>
    <t>Xây dựng trình tự luồng thanh toán và xuất hóa đơn.</t>
  </si>
  <si>
    <t>Biểu đồ tuần tự bảo hành</t>
  </si>
  <si>
    <t>Xây dựng trình tự các bước xử lý yêu cầu bảo hành linh kiện.</t>
  </si>
  <si>
    <t>Biểu đồ tuần tự báo cáo thống kê</t>
  </si>
  <si>
    <t>Xây dựng trình tự các bước trích xuất báo cáo doanh thu, tồn kho.</t>
  </si>
  <si>
    <t>Xác định sơ đồ hoạt động</t>
  </si>
  <si>
    <t>Sơ đồ hoạt động đăng nhập</t>
  </si>
  <si>
    <t>Xây dựng các bước hoạt động cụ thể khi người dùng đăng nhập.</t>
  </si>
  <si>
    <t>Phạm Trường Giang</t>
  </si>
  <si>
    <t>Sơ đồ hoạt động quản lý kho</t>
  </si>
  <si>
    <t>Xây dựng các bước chi tiết cho quy trình lưu kho.</t>
  </si>
  <si>
    <t>Sơ đồ hoạt động bán hàng</t>
  </si>
  <si>
    <t>Xây dựng các bước chi tiết tại máy POS.</t>
  </si>
  <si>
    <t>Sơ đồ hoạt động bảo hành</t>
  </si>
  <si>
    <t>Xây dựng các bước chi tiết quy trình nhận và trả bảo hành.</t>
  </si>
  <si>
    <t>Sơ đồ hoạt động báo cáo thống kê</t>
  </si>
  <si>
    <t>Xây dựng các bước hoạt động cụ thể khi người quản trị trích xuất dữ liệu, lọc tham số và xem báo cáo doanh thu, tồn kho.</t>
  </si>
  <si>
    <t>Sơ đồ hoạt động báo cáo</t>
  </si>
  <si>
    <t>Thiết kế giao diện</t>
  </si>
  <si>
    <t>Thiết kế giao diện phần Người dùng (Nhân viên)</t>
  </si>
  <si>
    <t>Đưa ra phần giao diện giao tiếp với người dùng: màn hình bán hàng tại quầy (POS), màn hình kiểm kho và tiếp nhận bảo hành thiết bị.</t>
  </si>
  <si>
    <t>Thiết kế giao diện cho phần Quản trị</t>
  </si>
  <si>
    <t>Đưa ra phần giao diện của người quản trị khi sử dụng: Dashboard thống kê doanh thu, quản lý danh mục sản phẩm, nhân viên và thiết lập hệ thống.</t>
  </si>
  <si>
    <t>Mời khách hàng tham vấn giao diện</t>
  </si>
  <si>
    <t>Hỏi ý kiến cuối cùng của khách hàng (đại diện chủ cửa hàng điện tử) về các bản thiết kế mockup/wireframe của hệ thống.</t>
  </si>
  <si>
    <t>Chỉnh sửa theo yêu cầu</t>
  </si>
  <si>
    <t>Chỉnh sửa theo những ý kiến của khách hàng, làm cam kết để bảo đảm khi nghiệm thu đối với luồng trải nghiệm (UX/UI).</t>
  </si>
  <si>
    <t>Xây dựng chương trình</t>
  </si>
  <si>
    <t>Thiết kế CSDL</t>
  </si>
  <si>
    <t>Xây dựng cơ sở dữ liệu cho dự án, tạo các bảng lưu trữ thông tin sản phẩm, số Serial/IMEI, đơn hàng và lịch sử bảo hành.</t>
  </si>
  <si>
    <t>Xây dựng module tầng Data Access</t>
  </si>
  <si>
    <t>Xây dựng tầng giao tiếp trực tiếp với CSDL, viết các Repository pattern xử lý truy vấn dữ liệu.</t>
  </si>
  <si>
    <t>Xây dựng module tầng Business</t>
  </si>
  <si>
    <t>Xây dựng tầng giao tiếp gián tiếp với CSDL, xử lý các logic nghiệp vụ lõi (trừ tồn kho, tính giá trị đơn hàng, kiểm tra hạn bảo hành).</t>
  </si>
  <si>
    <t>Xây dựng các chức năng phần Quản trị</t>
  </si>
  <si>
    <t>Xây dựng các chức năng liên quan cho người quản trị hệ thống phần mềm, bao gồm quản lý tài khoản nhân viên, phân quyền và cấu hình hệ thống.</t>
  </si>
  <si>
    <t>Xây dựng chức năng phần người dùng</t>
  </si>
  <si>
    <t>Đăng nhập</t>
  </si>
  <si>
    <t>Xây dựng phần Đăng nhập người dùng và Đăng nhập cho Quản trị kèm cơ chế phân quyền chức năng.</t>
  </si>
  <si>
    <t>Quản trị danh mục</t>
  </si>
  <si>
    <t>Xây dựng chức năng Quản trị danh mục các loại sản phẩm điện tử, hãng sản xuất, nhóm linh kiện và nhà cung cấp.</t>
  </si>
  <si>
    <t>Quản lý kho hàng &amp; Serial/IMEI</t>
  </si>
  <si>
    <t>Xây dựng chức năng quản lý quy trình nhập kho, xuất kho và kiểm kê hàng hóa chi tiết theo từng mã Serial.</t>
  </si>
  <si>
    <t>Quản lý quá trình bán hàng (POS)</t>
  </si>
  <si>
    <t>Xây dựng chức năng bán hàng tại quầy: tạo giỏ hàng, quét mã vạch/Serial, áp dụng khuyến mãi và xuất hóa đơn.</t>
  </si>
  <si>
    <t>Quản lý tiếp nhận bảo hành</t>
  </si>
  <si>
    <t>Xây dựng chức năng tra cứu hạn bảo hành qua IMEI, tạo phiếu tiếp nhận bảo hành và theo dõi trạng thái xử lý lỗi thiết bị.</t>
  </si>
  <si>
    <t>Hoạt động tìm kiếm</t>
  </si>
  <si>
    <t>Xây dựng chức năng tìm kiếm cho chương trình (tra cứu nhanh khách hàng, sản phẩm, lịch sử giao dịch).</t>
  </si>
  <si>
    <t>Chức năng thống kê báo cáo</t>
  </si>
  <si>
    <t>Xây dựng chức năng thống kê và các báo cáo trong chương trình: Báo cáo doanh thu, lợi nhuận, báo cáo tồn kho và cảnh báo hàng sắp hết.</t>
  </si>
  <si>
    <t>Viết hướng dẫn sử dụng</t>
  </si>
  <si>
    <t>Viết tài liệu hướng dẫn sử dụng chương trình cho nhân viên bán hàng và quản lý cửa hàng.</t>
  </si>
  <si>
    <t>Kiểm thử chương trình</t>
  </si>
  <si>
    <t>Kiểm thử chức năng</t>
  </si>
  <si>
    <t>Kiểm thử các chức năng phần quản trị</t>
  </si>
  <si>
    <t>Tìm kiếm những thiếu sót và lỗi trong phần quản trị: Kiểm tra phân quyền nhân viên, cấu hình khuyến mãi, hiển thị sai số trên Dashboard thống kê.</t>
  </si>
  <si>
    <t>Kiểm thử chức năng phần người dùng</t>
  </si>
  <si>
    <t>Kiểm tra lỗi các chức năng phần người dùng: Test kỹ luồng tạo đơn POS, quét mã vạch/Serial, trừ tồn kho và các nghiệp vụ tạo phiếu bảo hành.</t>
  </si>
  <si>
    <t>Kiểm thử toàn cục</t>
  </si>
  <si>
    <t>Thử lỗi tổng quát toàn chương trình: Đánh giá Integration Test xuyên suốt luồng từ lúc nhập hàng -&gt; bán hàng -&gt; bảo hành, đảm bảo dữ liệu không bị nghẽn.</t>
  </si>
  <si>
    <t>Trường Giang, Hữu Đại</t>
  </si>
  <si>
    <t>Sửa lỗi chương trình</t>
  </si>
  <si>
    <t>Sửa tất cả các lỗi đã được tìm thấy, fix bug giao diện (Frontend) và vá các lỗ hổng truy vấn dữ liệu (Backend).</t>
  </si>
  <si>
    <t>Long Quyền, Trường Giang</t>
  </si>
  <si>
    <t>Triển khai hệ thống</t>
  </si>
  <si>
    <t>Triển khai trong mạng nội bộ</t>
  </si>
  <si>
    <t>Triển khai ứng dụng tại cơ sở thử nghiệm hoặc cài đặt trên máy chủ nội bộ (LAN) của cửa hàng chính để nhân viên làm quen.</t>
  </si>
  <si>
    <t>Triển khai ra toàn cục</t>
  </si>
  <si>
    <t>Triển khai ứng dụng lên Cloud thông qua môi trường Internet để phục vụ nhiều chi nhánh và cho phép quản lý truy cập từ xa.</t>
  </si>
  <si>
    <t>Báo cáo chương trình</t>
  </si>
  <si>
    <t>Báo cáo tổng kết dự án, ký biên bản nghiệm thu chương trình với đại diện chủ cửa hàng điện tử.</t>
  </si>
  <si>
    <t>Đào tạo nhân lực sử dụng chương trình</t>
  </si>
  <si>
    <t>Hướng dẫn sử dụng chương trình, đào tạo cán bộ (nhân viên bán hàng, thủ kho, thu ngân) các nghiệp vụ tạo đơn, nhập hàng, đổi trả.</t>
  </si>
  <si>
    <t>Bảo trì hệ thống</t>
  </si>
  <si>
    <t>Cử nhân viên bảo dưỡng, bảo trì hệ thống khi chạy chương trình: Hỗ trợ sao lưu dữ liệu, giám sát tải server, xử lý sự cố trong tháng đầu vận hành.</t>
  </si>
  <si>
    <t>PHẦN 2 : TÔN CHỈ DỰ ÁN</t>
  </si>
  <si>
    <t>Tôn chỉ dự án (Project Charter)</t>
  </si>
  <si>
    <r>
      <rPr>
        <b/>
        <sz val="14"/>
        <color rgb="FF000000"/>
        <rFont val="Times New Roman"/>
      </rPr>
      <t>1.</t>
    </r>
    <r>
      <rPr>
        <b/>
        <sz val="7"/>
        <color rgb="FF000000"/>
        <rFont val="Times New Roman"/>
      </rPr>
      <t xml:space="preserve">    </t>
    </r>
    <r>
      <rPr>
        <b/>
        <sz val="14"/>
        <color rgb="FF000000"/>
        <rFont val="Times New Roman"/>
      </rPr>
      <t xml:space="preserve">Mô tả dự án </t>
    </r>
  </si>
  <si>
    <r>
      <rPr>
        <sz val="14"/>
        <color rgb="FF000000"/>
        <rFont val="Times New Roman"/>
      </rPr>
      <t xml:space="preserve">• </t>
    </r>
    <r>
      <rPr>
        <b/>
        <sz val="14"/>
        <color rgb="FF000000"/>
        <rFont val="Times New Roman"/>
      </rPr>
      <t>Tên dự án</t>
    </r>
    <r>
      <rPr>
        <sz val="14"/>
        <color rgb="FF000000"/>
        <rFont val="Times New Roman"/>
      </rPr>
      <t xml:space="preserve"> : Quản lý dự án xây dựng hệ thống quản lý bán hàng cho cửa hàng điện tử quy mô vừa và nhỏ (Mã số CNTT2026_N04).    </t>
    </r>
  </si>
  <si>
    <r>
      <rPr>
        <sz val="14"/>
        <color rgb="FF000000"/>
        <rFont val="Times New Roman"/>
      </rPr>
      <t xml:space="preserve">• </t>
    </r>
    <r>
      <rPr>
        <b/>
        <sz val="14"/>
        <color rgb="FF000000"/>
        <rFont val="Times New Roman"/>
      </rPr>
      <t>Ngày bẳt đầu</t>
    </r>
    <r>
      <rPr>
        <sz val="14"/>
        <color rgb="FF000000"/>
        <rFont val="Times New Roman"/>
      </rPr>
      <t xml:space="preserve"> : 01/09/2026</t>
    </r>
  </si>
  <si>
    <r>
      <rPr>
        <sz val="14"/>
        <color rgb="FF000000"/>
        <rFont val="Times New Roman"/>
      </rPr>
      <t xml:space="preserve">• </t>
    </r>
    <r>
      <rPr>
        <b/>
        <sz val="14"/>
        <color rgb="FF000000"/>
        <rFont val="Times New Roman"/>
      </rPr>
      <t>Ngày kết thúc</t>
    </r>
    <r>
      <rPr>
        <sz val="14"/>
        <color rgb="FF000000"/>
        <rFont val="Times New Roman"/>
      </rPr>
      <t xml:space="preserve"> : 28/02/2027 (thời hạn 06 tháng) </t>
    </r>
  </si>
  <si>
    <r>
      <rPr>
        <b/>
        <sz val="14"/>
        <color rgb="FF000000"/>
        <rFont val="Times New Roman"/>
      </rPr>
      <t>• Chủ đầu tư</t>
    </r>
    <r>
      <rPr>
        <sz val="14"/>
        <color rgb="FF000000"/>
        <rFont val="Times New Roman"/>
      </rPr>
      <t xml:space="preserve"> : Trường Công nghệ thông tin và Truyền thông – Đại học Bách khoa Hà Nội</t>
    </r>
  </si>
  <si>
    <r>
      <rPr>
        <sz val="14"/>
        <color rgb="FF000000"/>
        <rFont val="Times New Roman"/>
      </rPr>
      <t xml:space="preserve">• </t>
    </r>
    <r>
      <rPr>
        <b/>
        <sz val="14"/>
        <color rgb="FF000000"/>
        <rFont val="Times New Roman"/>
      </rPr>
      <t>Kinh phí</t>
    </r>
    <r>
      <rPr>
        <sz val="14"/>
        <color rgb="FF000000"/>
        <rFont val="Times New Roman"/>
      </rPr>
      <t xml:space="preserve"> : 200.000.000 VNĐ (171.000.000 VNĐ thuê khoán chuyên môn + 29.000.000 VNĐ vật tư), nguồn Ngân sách sự nghiệp khoa học (khoán chi)</t>
    </r>
  </si>
  <si>
    <r>
      <rPr>
        <sz val="14"/>
        <color rgb="FF000000"/>
        <rFont val="Times New Roman"/>
      </rPr>
      <t xml:space="preserve">• </t>
    </r>
    <r>
      <rPr>
        <b/>
        <sz val="14"/>
        <color rgb="FF000000"/>
        <rFont val="Times New Roman"/>
      </rPr>
      <t>Giám đốc dự án</t>
    </r>
    <r>
      <rPr>
        <sz val="14"/>
        <color rgb="FF000000"/>
        <rFont val="Times New Roman"/>
      </rPr>
      <t xml:space="preserve"> : Dương Đức Duy – MSSV 202490037</t>
    </r>
  </si>
  <si>
    <r>
      <rPr>
        <sz val="14"/>
        <color rgb="FF000000"/>
        <rFont val="Times New Roman"/>
      </rPr>
      <t xml:space="preserve">• </t>
    </r>
    <r>
      <rPr>
        <b/>
        <sz val="14"/>
        <color rgb="FF000000"/>
        <rFont val="Times New Roman"/>
      </rPr>
      <t>Mục tiêu dự án</t>
    </r>
    <r>
      <rPr>
        <sz val="14"/>
        <color rgb="FF000000"/>
        <rFont val="Times New Roman"/>
      </rPr>
      <t xml:space="preserve"> :  </t>
    </r>
  </si>
  <si>
    <t xml:space="preserve">- Chức năng nghiệp vụ : Đáp ứng 12 nhóm yêu cầu chức năng cốt lõi (FR01–FR12): quản lý khách hàng, danh mục/thương hiệu, sản phẩm và tồn kho theo Serial/IMEI, đơn hàng, thanh toán, kiểm kê và báo cáo doanh thu/tồn kho/bán chạy. </t>
  </si>
  <si>
    <t>-Yêu cầu kĩ thuật (Đáp ứng được tiêu chuẩn của một Website):   Hệ thống được xây dựng theo kiến trúc phân tách Frontend – Backend giao tiếp qua API, cơ sở dữ liệu chuẩn hóa; đáp ứng 06 yêu cầu phi chức năng (NFR01–NFR06): dễ sử dụng, tốc độ tra cứu nhanh, phân quyền bảo mật, sao lưu định kỳ, nhật ký thao tác và khả năng mở rộng đa chi nhánh.</t>
  </si>
  <si>
    <t>-Yêu cầu khác : Hoàn thành trong 6 tháng (09/2026–02/2027), trong phạm vi ngân sách 171.000.000 VNĐ, áp dụng mô hình phát triển Agile/Scrum.</t>
  </si>
  <si>
    <t xml:space="preserve">- Phạm vi của dự án :Bao gồm toàn bộ quy trình nghiệp vụ nội bộ của cửa hàng điện tử (tiếp nhận khách hàng, quản lý danh mục/sản phẩm/tồn kho, bán hàng, thanh toán, kiểm kê, báo cáo). Không bao gồm: tích hợp cổng thanh toán điện tử quốc tế, hệ thống logistics của bên thứ ba, kế toán tài chính tổng thể/kê khai thuế và quản lý nhân sự – tiền lương của cửa hàng. </t>
  </si>
  <si>
    <t xml:space="preserve"> </t>
  </si>
  <si>
    <r>
      <rPr>
        <sz val="14"/>
        <color rgb="FF000000"/>
        <rFont val="Times New Roman"/>
        <family val="1"/>
      </rPr>
      <t xml:space="preserve">- Đối tượng sử dụng: </t>
    </r>
    <r>
      <rPr>
        <b/>
        <sz val="14"/>
        <color rgb="FF000000"/>
        <rFont val="Times New Roman"/>
        <family val="1"/>
      </rPr>
      <t>Vai trò và trách nhiệm.</t>
    </r>
  </si>
  <si>
    <t>Vai trò</t>
  </si>
  <si>
    <t>Họ tên</t>
  </si>
  <si>
    <t>Tổ chức/vị trí</t>
  </si>
  <si>
    <t xml:space="preserve">Liên hệ </t>
  </si>
  <si>
    <t>Organization/Position</t>
  </si>
  <si>
    <t>Contact Information</t>
  </si>
  <si>
    <t xml:space="preserve">Khách hàng (mô phỏng) </t>
  </si>
  <si>
    <t>Đại diện Cửa hàng Điện tử Lãng Lãng</t>
  </si>
  <si>
    <t xml:space="preserve">Chủ cửa hàng / Quản lý </t>
  </si>
  <si>
    <t xml:space="preserve">Giảng viên hướng dẫn </t>
  </si>
  <si>
    <t>ThS. Lê Thị Hoa</t>
  </si>
  <si>
    <t>Trường CNTT&amp;TT, ĐHBK Hà Nội</t>
  </si>
  <si>
    <t>Giám đốc dự án / Chủ nhiệm đề tài</t>
  </si>
  <si>
    <t xml:space="preserve">Dương Đức Duy </t>
  </si>
  <si>
    <t>MSSV 202490037</t>
  </si>
  <si>
    <t xml:space="preserve">duy.dd2490037@sis.hust.edu.vn </t>
  </si>
  <si>
    <t>Thành viên – BA &amp; UI/UX</t>
  </si>
  <si>
    <t>MSSV 202490041</t>
  </si>
  <si>
    <t>Thành viên – Backend &amp; CSDL</t>
  </si>
  <si>
    <t xml:space="preserve">Nguyễn Long Quyền </t>
  </si>
  <si>
    <t>MSSV 202490079</t>
  </si>
  <si>
    <t>Thành viên – Frontend &amp; QA/QC</t>
  </si>
  <si>
    <t>MSSV 202490044</t>
  </si>
  <si>
    <r>
      <rPr>
        <b/>
        <sz val="14"/>
        <color rgb="FF000000"/>
        <rFont val="Times New Roman"/>
        <family val="1"/>
      </rPr>
      <t>2.</t>
    </r>
    <r>
      <rPr>
        <b/>
        <sz val="7"/>
        <color rgb="FF000000"/>
        <rFont val="Times New Roman"/>
        <family val="1"/>
      </rPr>
      <t xml:space="preserve">    </t>
    </r>
    <r>
      <rPr>
        <b/>
        <sz val="14"/>
        <color rgb="FF000000"/>
        <rFont val="Times New Roman"/>
        <family val="1"/>
      </rPr>
      <t>Công bố dự án</t>
    </r>
  </si>
  <si>
    <t>Quyết định khởi công dự án phần mềm</t>
  </si>
  <si>
    <t>(Số ….. Ngày……..)</t>
  </si>
  <si>
    <t>Tên dự án</t>
  </si>
  <si>
    <t>Quản lý dự án xây dựng hệ thống quản lý bán hàng cho cửa hàng điện tử quy mô vừa và nhỏ</t>
  </si>
  <si>
    <t>Mã số</t>
  </si>
  <si>
    <t>CNTT2026_N04</t>
  </si>
  <si>
    <t>Chủ đấu tư</t>
  </si>
  <si>
    <t>Trường Công nghệ thông tin và Truyền thông – Đại học Bách khoa Hà Nội</t>
  </si>
  <si>
    <t>Thời gian</t>
  </si>
  <si>
    <t>09/2026 – 02/2027 (06 tháng)</t>
  </si>
  <si>
    <t>Giám đốc dự án</t>
  </si>
  <si>
    <t>Quản trị viên</t>
  </si>
  <si>
    <t>Qui mô dự án</t>
  </si>
  <si>
    <t>04 thành viên; 50 đầu việc; 179,5 ngày công; ngân sách 171.000.000 VNĐ</t>
  </si>
  <si>
    <t>Mục tiêu và các yêu cầu</t>
  </si>
  <si>
    <t xml:space="preserve">Áp dụng Agile/Scrum để phân tích, thiết kế và phát triển thành công hệ thống quản lý bán hàng chuyên biệt cho cửa hàng điện tử, bàn giao đầy đủ bộ tài liệu quản lý dự án, tài liệu thiết kế và phần mềm hoạt động ổn định (xem chi tiết Phụ lục 1.5). </t>
  </si>
  <si>
    <t xml:space="preserve">                                           (Ký và ghi rõ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</si>
</sst>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scheme val="minor"/>
    </font>
    <font>
      <sz val="11"/>
      <color theme="1"/>
      <name val="Calibri"/>
      <family val="2"/>
      <scheme val="minor"/>
    </font>
    <font>
      <sz val="9"/>
      <color theme="1"/>
      <name val="Arial"/>
      <family val="2"/>
    </font>
    <font>
      <b/>
      <sz val="9"/>
      <color theme="1"/>
      <name val="Arial"/>
      <family val="2"/>
    </font>
    <font>
      <sz val="11"/>
      <name val="Calibri"/>
      <family val="2"/>
    </font>
    <font>
      <b/>
      <sz val="9"/>
      <color rgb="FFFF0000"/>
      <name val="Arial"/>
      <family val="2"/>
    </font>
    <font>
      <sz val="9"/>
      <color rgb="FF0000FF"/>
      <name val="Arial"/>
      <family val="2"/>
    </font>
    <font>
      <sz val="9"/>
      <color rgb="FF000000"/>
      <name val="Arial"/>
      <family val="2"/>
    </font>
    <font>
      <sz val="9"/>
      <color rgb="FFE36C09"/>
      <name val="Arial"/>
      <family val="2"/>
    </font>
    <font>
      <b/>
      <sz val="14"/>
      <color rgb="FF000000"/>
      <name val="Times New Roman"/>
      <family val="1"/>
    </font>
    <font>
      <sz val="14"/>
      <color theme="1"/>
      <name val="Arial"/>
      <family val="2"/>
    </font>
    <font>
      <sz val="14"/>
      <color rgb="FF000000"/>
      <name val="Times New Roman"/>
      <family val="1"/>
    </font>
    <font>
      <u/>
      <sz val="11"/>
      <color theme="10"/>
      <name val="Calibri"/>
      <family val="2"/>
    </font>
    <font>
      <b/>
      <sz val="7"/>
      <color rgb="FF000000"/>
      <name val="Times New Roman"/>
      <family val="1"/>
    </font>
    <font>
      <sz val="10"/>
      <color theme="1"/>
      <name val="Calibri"/>
      <scheme val="minor"/>
    </font>
    <font>
      <sz val="10"/>
      <color theme="1"/>
      <name val="Calibri"/>
      <family val="2"/>
      <scheme val="minor"/>
    </font>
    <font>
      <u/>
      <sz val="11"/>
      <color theme="10"/>
      <name val="Calibri"/>
      <scheme val="minor"/>
    </font>
    <font>
      <b/>
      <sz val="14"/>
      <color rgb="FF000000"/>
      <name val="Times New Roman"/>
    </font>
    <font>
      <b/>
      <sz val="7"/>
      <color rgb="FF000000"/>
      <name val="Times New Roman"/>
    </font>
    <font>
      <sz val="14"/>
      <color rgb="FF000000"/>
      <name val="Times New Roman"/>
    </font>
    <font>
      <sz val="11"/>
      <name val="Times New Roman"/>
    </font>
    <font>
      <sz val="14"/>
      <name val="Times New Roman"/>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2">
    <xf numFmtId="0" fontId="0" fillId="0" borderId="0"/>
    <xf numFmtId="0" fontId="16" fillId="0" borderId="0" applyNumberFormat="0" applyFill="0" applyBorder="0" applyAlignment="0" applyProtection="0"/>
  </cellStyleXfs>
  <cellXfs count="47">
    <xf numFmtId="0" fontId="0" fillId="0" borderId="0" xfId="0"/>
    <xf numFmtId="0" fontId="2" fillId="0" borderId="0" xfId="0" applyFont="1"/>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horizontal="left" vertical="center"/>
    </xf>
    <xf numFmtId="0" fontId="9" fillId="0" borderId="2" xfId="0" applyFont="1" applyBorder="1" applyAlignment="1">
      <alignment vertical="center" wrapText="1"/>
    </xf>
    <xf numFmtId="0" fontId="11" fillId="0" borderId="0" xfId="0" applyFont="1" applyAlignment="1">
      <alignment horizontal="right" vertical="center"/>
    </xf>
    <xf numFmtId="0" fontId="11" fillId="0" borderId="2" xfId="0" applyFont="1" applyBorder="1" applyAlignment="1">
      <alignment horizontal="left" vertical="center" wrapText="1"/>
    </xf>
    <xf numFmtId="0" fontId="11" fillId="0" borderId="0" xfId="0" applyFont="1" applyAlignment="1">
      <alignment horizontal="left" vertical="center"/>
    </xf>
    <xf numFmtId="0" fontId="2" fillId="0" borderId="6" xfId="0" applyFont="1" applyBorder="1"/>
    <xf numFmtId="0" fontId="7" fillId="0" borderId="6" xfId="0" applyFont="1" applyBorder="1"/>
    <xf numFmtId="0" fontId="14" fillId="0" borderId="6" xfId="0" applyFont="1" applyBorder="1"/>
    <xf numFmtId="0" fontId="2" fillId="0" borderId="0" xfId="0" applyFont="1" applyAlignment="1">
      <alignment horizontal="right"/>
    </xf>
    <xf numFmtId="0" fontId="0" fillId="0" borderId="6" xfId="0" applyBorder="1"/>
    <xf numFmtId="0" fontId="0" fillId="0" borderId="0" xfId="0" applyAlignment="1">
      <alignment horizontal="right"/>
    </xf>
    <xf numFmtId="0" fontId="5" fillId="0" borderId="6" xfId="0" applyFont="1" applyBorder="1"/>
    <xf numFmtId="0" fontId="6" fillId="0" borderId="6" xfId="0" applyFont="1" applyBorder="1" applyAlignment="1">
      <alignment horizontal="left"/>
    </xf>
    <xf numFmtId="0" fontId="8" fillId="0" borderId="6" xfId="0" applyFont="1" applyBorder="1" applyAlignment="1">
      <alignment horizontal="left"/>
    </xf>
    <xf numFmtId="0" fontId="1" fillId="0" borderId="6" xfId="0" applyFont="1" applyBorder="1"/>
    <xf numFmtId="0" fontId="2" fillId="0" borderId="6" xfId="0" applyFont="1" applyBorder="1" applyAlignment="1">
      <alignment horizontal="right"/>
    </xf>
    <xf numFmtId="0" fontId="14" fillId="0" borderId="6" xfId="0" applyFont="1" applyBorder="1" applyAlignment="1">
      <alignment horizontal="right"/>
    </xf>
    <xf numFmtId="0" fontId="15" fillId="0" borderId="6" xfId="0" applyFont="1" applyBorder="1" applyAlignment="1">
      <alignment horizontal="right"/>
    </xf>
    <xf numFmtId="0" fontId="2" fillId="0" borderId="0" xfId="0" applyFont="1" applyAlignment="1">
      <alignment horizontal="center"/>
    </xf>
    <xf numFmtId="0" fontId="7" fillId="0" borderId="0" xfId="0" applyFont="1"/>
    <xf numFmtId="0" fontId="9" fillId="0" borderId="1" xfId="0" applyFont="1" applyBorder="1" applyAlignment="1">
      <alignment vertical="center" wrapText="1"/>
    </xf>
    <xf numFmtId="0" fontId="2" fillId="0" borderId="6" xfId="0" applyFont="1" applyBorder="1" applyAlignment="1">
      <alignment horizontal="center"/>
    </xf>
    <xf numFmtId="0" fontId="3" fillId="0" borderId="6" xfId="0" applyFont="1" applyBorder="1" applyAlignment="1">
      <alignment horizontal="center" vertical="center" wrapText="1"/>
    </xf>
    <xf numFmtId="0" fontId="11" fillId="0" borderId="0" xfId="0" applyFont="1" applyAlignment="1">
      <alignment vertical="center" wrapText="1"/>
    </xf>
    <xf numFmtId="0" fontId="9" fillId="0" borderId="1" xfId="0" applyFont="1" applyBorder="1" applyAlignment="1">
      <alignment vertical="center" wrapText="1"/>
    </xf>
    <xf numFmtId="0" fontId="9" fillId="0" borderId="0" xfId="0" applyFont="1" applyAlignment="1">
      <alignment horizontal="center" vertical="center"/>
    </xf>
    <xf numFmtId="0" fontId="17" fillId="0" borderId="0" xfId="0" applyFont="1" applyAlignment="1">
      <alignment horizontal="left" vertical="center"/>
    </xf>
    <xf numFmtId="0" fontId="19" fillId="0" borderId="0" xfId="0" applyFont="1" applyAlignment="1">
      <alignment vertical="center" wrapText="1"/>
    </xf>
    <xf numFmtId="0" fontId="17" fillId="0" borderId="0" xfId="0" applyFont="1" applyAlignment="1">
      <alignment vertical="center" wrapText="1"/>
    </xf>
    <xf numFmtId="0" fontId="11" fillId="0" borderId="0" xfId="0" quotePrefix="1" applyFont="1" applyAlignment="1">
      <alignment vertical="center" wrapText="1"/>
    </xf>
    <xf numFmtId="0" fontId="12" fillId="0" borderId="2" xfId="0" applyFont="1" applyBorder="1" applyAlignment="1">
      <alignment horizontal="left" vertical="center" wrapText="1"/>
    </xf>
    <xf numFmtId="0" fontId="11" fillId="0" borderId="2" xfId="0" applyFont="1" applyBorder="1" applyAlignment="1">
      <alignment horizontal="left" vertical="center" wrapText="1"/>
    </xf>
    <xf numFmtId="0" fontId="16" fillId="0" borderId="2" xfId="1" applyBorder="1" applyAlignment="1">
      <alignment horizontal="left" vertical="center" wrapText="1"/>
    </xf>
    <xf numFmtId="0" fontId="20" fillId="0" borderId="2" xfId="0" applyFont="1" applyBorder="1"/>
    <xf numFmtId="0" fontId="21" fillId="0" borderId="2" xfId="0" applyFont="1" applyBorder="1"/>
    <xf numFmtId="0" fontId="11" fillId="0" borderId="3" xfId="0" applyFont="1" applyBorder="1" applyAlignment="1">
      <alignment vertical="center" wrapText="1"/>
    </xf>
    <xf numFmtId="0" fontId="4" fillId="0" borderId="4" xfId="0" applyFont="1" applyBorder="1" applyAlignment="1"/>
    <xf numFmtId="0" fontId="4" fillId="0" borderId="5" xfId="0" applyFont="1" applyBorder="1" applyAlignment="1"/>
    <xf numFmtId="0" fontId="4" fillId="0" borderId="6" xfId="0" applyFont="1" applyBorder="1" applyAlignment="1"/>
    <xf numFmtId="0" fontId="0" fillId="0" borderId="0" xfId="0" applyAlignment="1"/>
    <xf numFmtId="0" fontId="4" fillId="0" borderId="7" xfId="0" applyFont="1" applyBorder="1" applyAlignment="1"/>
    <xf numFmtId="0" fontId="4" fillId="0" borderId="2" xfId="0" applyFont="1" applyBorder="1" applyAlignment="1"/>
    <xf numFmtId="0" fontId="16" fillId="0" borderId="2" xfId="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mailto:duy.dd2490037@sis.hust.edu.vn" TargetMode="External"/><Relationship Id="rId1" Type="http://schemas.openxmlformats.org/officeDocument/2006/relationships/hyperlink" Target="mailto:tranthigiangcnt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7"/>
  <sheetViews>
    <sheetView tabSelected="1" workbookViewId="0">
      <selection activeCell="J9" sqref="J9"/>
    </sheetView>
  </sheetViews>
  <sheetFormatPr defaultColWidth="14.42578125" defaultRowHeight="14.45"/>
  <cols>
    <col min="1" max="1" width="3.7109375" customWidth="1"/>
    <col min="2" max="2" width="6.5703125" customWidth="1"/>
    <col min="3" max="3" width="39.140625" customWidth="1"/>
    <col min="4" max="4" width="54.7109375" customWidth="1"/>
    <col min="5" max="5" width="5.7109375" customWidth="1"/>
    <col min="6" max="6" width="5.5703125" customWidth="1"/>
    <col min="7" max="9" width="9.140625" customWidth="1"/>
    <col min="10" max="10" width="9.140625" style="14" customWidth="1"/>
    <col min="11" max="11" width="20.85546875" bestFit="1" customWidth="1"/>
    <col min="12" max="12" width="20.85546875" customWidth="1"/>
    <col min="13" max="24" width="8" customWidth="1"/>
  </cols>
  <sheetData>
    <row r="1" spans="1:24">
      <c r="A1" s="1"/>
      <c r="B1" s="1"/>
      <c r="C1" s="1"/>
      <c r="D1" s="1"/>
      <c r="E1" s="1"/>
      <c r="F1" s="1"/>
      <c r="G1" s="1"/>
      <c r="H1" s="1"/>
      <c r="I1" s="1"/>
      <c r="J1" s="12"/>
      <c r="K1" s="1"/>
      <c r="L1" s="1"/>
      <c r="M1" s="1"/>
      <c r="N1" s="1"/>
      <c r="O1" s="1"/>
      <c r="P1" s="1"/>
      <c r="Q1" s="1"/>
      <c r="R1" s="1"/>
      <c r="S1" s="1"/>
      <c r="T1" s="1"/>
      <c r="U1" s="1"/>
      <c r="V1" s="1"/>
      <c r="W1" s="1"/>
      <c r="X1" s="1"/>
    </row>
    <row r="2" spans="1:24">
      <c r="A2" s="1"/>
      <c r="B2" s="26" t="s">
        <v>0</v>
      </c>
      <c r="C2" s="26" t="s">
        <v>1</v>
      </c>
      <c r="D2" s="26" t="s">
        <v>2</v>
      </c>
      <c r="E2" s="25" t="s">
        <v>3</v>
      </c>
      <c r="F2" s="25" t="s">
        <v>4</v>
      </c>
      <c r="G2" s="25" t="s">
        <v>5</v>
      </c>
      <c r="H2" s="25" t="s">
        <v>6</v>
      </c>
      <c r="I2" s="25" t="s">
        <v>7</v>
      </c>
      <c r="J2" s="25" t="s">
        <v>8</v>
      </c>
      <c r="K2" s="25" t="s">
        <v>9</v>
      </c>
      <c r="L2" s="22"/>
      <c r="M2" s="1"/>
      <c r="N2" s="1"/>
      <c r="O2" s="1"/>
      <c r="P2" s="1"/>
      <c r="Q2" s="1"/>
      <c r="R2" s="1"/>
      <c r="S2" s="1"/>
      <c r="T2" s="1"/>
      <c r="U2" s="1"/>
      <c r="V2" s="1"/>
      <c r="W2" s="1"/>
      <c r="X2" s="1"/>
    </row>
    <row r="3" spans="1:24">
      <c r="A3" s="1"/>
      <c r="B3" s="42"/>
      <c r="C3" s="42"/>
      <c r="D3" s="42"/>
      <c r="E3" s="25"/>
      <c r="F3" s="25"/>
      <c r="G3" s="25"/>
      <c r="H3" s="25"/>
      <c r="I3" s="25"/>
      <c r="J3" s="25"/>
      <c r="K3" s="25"/>
      <c r="L3" s="22"/>
      <c r="M3" s="1" t="s">
        <v>10</v>
      </c>
      <c r="N3" s="1" t="s">
        <v>11</v>
      </c>
      <c r="O3" s="1" t="s">
        <v>12</v>
      </c>
      <c r="P3" s="1" t="s">
        <v>13</v>
      </c>
      <c r="Q3" s="1" t="s">
        <v>14</v>
      </c>
      <c r="R3" s="1"/>
      <c r="S3" s="1"/>
      <c r="T3" s="1"/>
      <c r="U3" s="1"/>
      <c r="V3" s="1"/>
      <c r="W3" s="1"/>
      <c r="X3" s="1"/>
    </row>
    <row r="4" spans="1:24">
      <c r="A4" s="1"/>
      <c r="B4" s="9"/>
      <c r="C4" s="15" t="s">
        <v>15</v>
      </c>
      <c r="D4" s="9"/>
      <c r="E4" s="19"/>
      <c r="F4" s="19"/>
      <c r="G4" s="19"/>
      <c r="H4" s="19">
        <f t="shared" ref="H4:H18" si="0">ROUND((E4+4*F4+G4)/6,1)</f>
        <v>0</v>
      </c>
      <c r="I4" s="19"/>
      <c r="J4" s="19"/>
      <c r="K4" s="9"/>
      <c r="L4" s="1"/>
      <c r="M4" s="1">
        <f>SUM(M5:M66)</f>
        <v>7.5</v>
      </c>
      <c r="N4" s="1">
        <f t="shared" ref="N4:P4" si="1">SUM(N5:N66)</f>
        <v>57.5</v>
      </c>
      <c r="O4" s="1">
        <f t="shared" si="1"/>
        <v>58</v>
      </c>
      <c r="P4" s="1">
        <f t="shared" si="1"/>
        <v>56.5</v>
      </c>
      <c r="Q4" s="1">
        <f>M4+N4+O4+P4</f>
        <v>179.5</v>
      </c>
      <c r="R4" s="1"/>
      <c r="S4" s="1"/>
      <c r="T4" s="1"/>
      <c r="U4" s="1"/>
      <c r="V4" s="1"/>
      <c r="W4" s="1"/>
      <c r="X4" s="1"/>
    </row>
    <row r="5" spans="1:24">
      <c r="A5" s="1"/>
      <c r="B5" s="9">
        <v>1</v>
      </c>
      <c r="C5" s="16" t="s">
        <v>16</v>
      </c>
      <c r="D5" s="10" t="s">
        <v>17</v>
      </c>
      <c r="E5" s="20">
        <v>2</v>
      </c>
      <c r="F5" s="20">
        <v>3</v>
      </c>
      <c r="G5" s="20">
        <v>5</v>
      </c>
      <c r="H5" s="19">
        <f t="shared" si="0"/>
        <v>3.2</v>
      </c>
      <c r="I5" s="19">
        <v>0.8</v>
      </c>
      <c r="J5" s="20">
        <f>H5+I5</f>
        <v>4</v>
      </c>
      <c r="K5" s="10" t="s">
        <v>18</v>
      </c>
      <c r="L5" s="23"/>
      <c r="M5" s="1">
        <f>IF(ISNUMBER(SEARCH("Duy", K5)),J5,0)</f>
        <v>0</v>
      </c>
      <c r="N5" s="1">
        <f>IF(ISNUMBER(SEARCH("Đại", K5)),J5,0)</f>
        <v>4</v>
      </c>
      <c r="O5" s="1">
        <f>IF(ISNUMBER(SEARCH("Quyền", K5)),J5,0)</f>
        <v>0</v>
      </c>
      <c r="P5" s="1">
        <f>IF(ISNUMBER(SEARCH("Giang", K5)),J5,0)</f>
        <v>0</v>
      </c>
      <c r="Q5" s="1"/>
      <c r="R5" s="1"/>
      <c r="S5" s="1"/>
      <c r="T5" s="1"/>
      <c r="U5" s="1"/>
      <c r="V5" s="1"/>
      <c r="W5" s="1"/>
      <c r="X5" s="1"/>
    </row>
    <row r="6" spans="1:24">
      <c r="A6" s="1"/>
      <c r="B6" s="9">
        <v>2</v>
      </c>
      <c r="C6" s="16" t="s">
        <v>19</v>
      </c>
      <c r="D6" s="10" t="s">
        <v>20</v>
      </c>
      <c r="E6" s="20">
        <v>3</v>
      </c>
      <c r="F6" s="20">
        <v>4</v>
      </c>
      <c r="G6" s="20">
        <v>6</v>
      </c>
      <c r="H6" s="19">
        <f t="shared" si="0"/>
        <v>4.2</v>
      </c>
      <c r="I6" s="19" t="s">
        <v>21</v>
      </c>
      <c r="J6" s="20">
        <f t="shared" ref="J6:J66" si="2">H6+I6</f>
        <v>5</v>
      </c>
      <c r="K6" s="10" t="s">
        <v>18</v>
      </c>
      <c r="L6" s="23"/>
      <c r="M6" s="1">
        <f t="shared" ref="M6:M66" si="3">IF(ISNUMBER(SEARCH("Duy", K6)),J6,0)</f>
        <v>0</v>
      </c>
      <c r="N6" s="1">
        <f t="shared" ref="N6:N66" si="4">IF(ISNUMBER(SEARCH("Đại", K6)),J6,0)</f>
        <v>5</v>
      </c>
      <c r="O6" s="1">
        <f t="shared" ref="O6:O66" si="5">IF(ISNUMBER(SEARCH("Quyền", K6)),J6,0)</f>
        <v>0</v>
      </c>
      <c r="P6" s="1">
        <f t="shared" ref="P6:P66" si="6">IF(ISNUMBER(SEARCH("Giang", K6)),J6,0)</f>
        <v>0</v>
      </c>
      <c r="Q6" s="1"/>
      <c r="R6" s="1"/>
      <c r="S6" s="1"/>
      <c r="T6" s="1"/>
      <c r="U6" s="1"/>
      <c r="V6" s="1"/>
      <c r="W6" s="1"/>
      <c r="X6" s="1"/>
    </row>
    <row r="7" spans="1:24">
      <c r="A7" s="1"/>
      <c r="B7" s="9">
        <v>3</v>
      </c>
      <c r="C7" s="16" t="s">
        <v>22</v>
      </c>
      <c r="D7" s="10" t="s">
        <v>23</v>
      </c>
      <c r="E7" s="20">
        <v>1</v>
      </c>
      <c r="F7" s="20">
        <v>1</v>
      </c>
      <c r="G7" s="20">
        <v>2</v>
      </c>
      <c r="H7" s="19">
        <f t="shared" si="0"/>
        <v>1.2</v>
      </c>
      <c r="I7" s="19" t="s">
        <v>24</v>
      </c>
      <c r="J7" s="20">
        <f t="shared" si="2"/>
        <v>1.5</v>
      </c>
      <c r="K7" s="10" t="s">
        <v>25</v>
      </c>
      <c r="L7" s="23"/>
      <c r="M7" s="1">
        <f t="shared" si="3"/>
        <v>1.5</v>
      </c>
      <c r="N7" s="1">
        <f t="shared" si="4"/>
        <v>0</v>
      </c>
      <c r="O7" s="1">
        <f t="shared" si="5"/>
        <v>0</v>
      </c>
      <c r="P7" s="1">
        <f t="shared" si="6"/>
        <v>0</v>
      </c>
      <c r="Q7" s="1"/>
      <c r="R7" s="1"/>
      <c r="S7" s="1"/>
      <c r="T7" s="1"/>
      <c r="U7" s="1"/>
      <c r="V7" s="1"/>
      <c r="W7" s="1"/>
      <c r="X7" s="1"/>
    </row>
    <row r="8" spans="1:24">
      <c r="A8" s="1"/>
      <c r="B8" s="9">
        <v>4</v>
      </c>
      <c r="C8" s="16" t="s">
        <v>26</v>
      </c>
      <c r="D8" s="10" t="s">
        <v>27</v>
      </c>
      <c r="E8" s="20">
        <v>1</v>
      </c>
      <c r="F8" s="20">
        <v>2</v>
      </c>
      <c r="G8" s="20">
        <v>3</v>
      </c>
      <c r="H8" s="19">
        <f t="shared" si="0"/>
        <v>2</v>
      </c>
      <c r="I8" s="19" t="s">
        <v>28</v>
      </c>
      <c r="J8" s="20">
        <f t="shared" si="2"/>
        <v>2.5</v>
      </c>
      <c r="K8" s="10" t="s">
        <v>25</v>
      </c>
      <c r="L8" s="23"/>
      <c r="M8" s="1">
        <f t="shared" si="3"/>
        <v>2.5</v>
      </c>
      <c r="N8" s="1">
        <f t="shared" si="4"/>
        <v>0</v>
      </c>
      <c r="O8" s="1">
        <f t="shared" si="5"/>
        <v>0</v>
      </c>
      <c r="P8" s="1">
        <f t="shared" si="6"/>
        <v>0</v>
      </c>
      <c r="Q8" s="1"/>
      <c r="R8" s="1"/>
      <c r="S8" s="1"/>
      <c r="T8" s="1"/>
      <c r="U8" s="1"/>
      <c r="V8" s="1"/>
      <c r="W8" s="1"/>
      <c r="X8" s="1"/>
    </row>
    <row r="9" spans="1:24">
      <c r="A9" s="1"/>
      <c r="B9" s="9"/>
      <c r="C9" s="15" t="s">
        <v>29</v>
      </c>
      <c r="D9" s="9"/>
      <c r="E9" s="19"/>
      <c r="F9" s="19"/>
      <c r="G9" s="19"/>
      <c r="H9" s="19"/>
      <c r="I9" s="19"/>
      <c r="J9" s="19"/>
      <c r="K9" s="10"/>
      <c r="L9" s="23"/>
      <c r="M9" s="1">
        <f t="shared" si="3"/>
        <v>0</v>
      </c>
      <c r="N9" s="1">
        <f t="shared" si="4"/>
        <v>0</v>
      </c>
      <c r="O9" s="1">
        <f t="shared" si="5"/>
        <v>0</v>
      </c>
      <c r="P9" s="1">
        <f t="shared" si="6"/>
        <v>0</v>
      </c>
      <c r="Q9" s="1"/>
      <c r="R9" s="1"/>
      <c r="S9" s="1"/>
      <c r="T9" s="1"/>
      <c r="U9" s="1"/>
      <c r="V9" s="1"/>
      <c r="W9" s="1"/>
      <c r="X9" s="1"/>
    </row>
    <row r="10" spans="1:24">
      <c r="A10" s="1"/>
      <c r="B10" s="9">
        <v>7</v>
      </c>
      <c r="C10" s="16" t="s">
        <v>30</v>
      </c>
      <c r="D10" s="11" t="s">
        <v>31</v>
      </c>
      <c r="E10" s="20">
        <v>1</v>
      </c>
      <c r="F10" s="20">
        <v>1</v>
      </c>
      <c r="G10" s="20">
        <v>2</v>
      </c>
      <c r="H10" s="19">
        <f t="shared" si="0"/>
        <v>1.2</v>
      </c>
      <c r="I10" s="19">
        <v>0.3</v>
      </c>
      <c r="J10" s="20">
        <f t="shared" si="2"/>
        <v>1.5</v>
      </c>
      <c r="K10" s="10" t="s">
        <v>18</v>
      </c>
      <c r="L10" s="23"/>
      <c r="M10" s="1">
        <f t="shared" si="3"/>
        <v>0</v>
      </c>
      <c r="N10" s="1">
        <f t="shared" si="4"/>
        <v>1.5</v>
      </c>
      <c r="O10" s="1">
        <f t="shared" si="5"/>
        <v>0</v>
      </c>
      <c r="P10" s="1">
        <f t="shared" si="6"/>
        <v>0</v>
      </c>
      <c r="Q10" s="1"/>
      <c r="R10" s="1"/>
      <c r="S10" s="1"/>
      <c r="T10" s="1"/>
      <c r="U10" s="1"/>
      <c r="V10" s="1"/>
      <c r="W10" s="1"/>
      <c r="X10" s="1"/>
    </row>
    <row r="11" spans="1:24">
      <c r="A11" s="1"/>
      <c r="B11" s="9">
        <v>8</v>
      </c>
      <c r="C11" s="16" t="s">
        <v>32</v>
      </c>
      <c r="D11" s="10" t="s">
        <v>33</v>
      </c>
      <c r="E11" s="19">
        <v>1</v>
      </c>
      <c r="F11" s="19">
        <v>2</v>
      </c>
      <c r="G11" s="19">
        <v>3</v>
      </c>
      <c r="H11" s="19">
        <f t="shared" si="0"/>
        <v>2</v>
      </c>
      <c r="I11" s="19">
        <v>0.5</v>
      </c>
      <c r="J11" s="19">
        <f t="shared" si="2"/>
        <v>2.5</v>
      </c>
      <c r="K11" s="10" t="s">
        <v>18</v>
      </c>
      <c r="L11" s="23"/>
      <c r="M11" s="1">
        <f t="shared" si="3"/>
        <v>0</v>
      </c>
      <c r="N11" s="1">
        <f t="shared" si="4"/>
        <v>2.5</v>
      </c>
      <c r="O11" s="1">
        <f t="shared" si="5"/>
        <v>0</v>
      </c>
      <c r="P11" s="1">
        <f t="shared" si="6"/>
        <v>0</v>
      </c>
      <c r="Q11" s="1"/>
      <c r="R11" s="1"/>
      <c r="S11" s="1"/>
      <c r="T11" s="1"/>
      <c r="U11" s="1"/>
      <c r="V11" s="1"/>
      <c r="W11" s="1"/>
      <c r="X11" s="1"/>
    </row>
    <row r="12" spans="1:24">
      <c r="A12" s="1"/>
      <c r="B12" s="9"/>
      <c r="C12" s="16" t="s">
        <v>34</v>
      </c>
      <c r="D12" s="10"/>
      <c r="E12" s="19"/>
      <c r="F12" s="19"/>
      <c r="G12" s="19"/>
      <c r="H12" s="19"/>
      <c r="I12" s="19"/>
      <c r="J12" s="19"/>
      <c r="K12" s="10"/>
      <c r="L12" s="23"/>
      <c r="M12" s="1">
        <f t="shared" si="3"/>
        <v>0</v>
      </c>
      <c r="N12" s="1">
        <f t="shared" si="4"/>
        <v>0</v>
      </c>
      <c r="O12" s="1">
        <f t="shared" si="5"/>
        <v>0</v>
      </c>
      <c r="P12" s="1">
        <f t="shared" si="6"/>
        <v>0</v>
      </c>
      <c r="Q12" s="1"/>
      <c r="R12" s="1"/>
      <c r="S12" s="1"/>
      <c r="T12" s="1"/>
      <c r="U12" s="1"/>
      <c r="V12" s="1"/>
      <c r="W12" s="1"/>
      <c r="X12" s="1"/>
    </row>
    <row r="13" spans="1:24">
      <c r="A13" s="1"/>
      <c r="B13" s="9">
        <v>9</v>
      </c>
      <c r="C13" s="17" t="s">
        <v>35</v>
      </c>
      <c r="D13" s="11" t="s">
        <v>36</v>
      </c>
      <c r="E13" s="20" t="s">
        <v>28</v>
      </c>
      <c r="F13" s="20">
        <v>1</v>
      </c>
      <c r="G13" s="20">
        <v>2</v>
      </c>
      <c r="H13" s="19">
        <f t="shared" si="0"/>
        <v>1.1000000000000001</v>
      </c>
      <c r="I13" s="19">
        <v>0.4</v>
      </c>
      <c r="J13" s="19">
        <f t="shared" si="2"/>
        <v>1.5</v>
      </c>
      <c r="K13" s="10" t="s">
        <v>18</v>
      </c>
      <c r="L13" s="23"/>
      <c r="M13" s="1">
        <f t="shared" si="3"/>
        <v>0</v>
      </c>
      <c r="N13" s="1">
        <f t="shared" si="4"/>
        <v>1.5</v>
      </c>
      <c r="O13" s="1">
        <f t="shared" si="5"/>
        <v>0</v>
      </c>
      <c r="P13" s="1">
        <f t="shared" si="6"/>
        <v>0</v>
      </c>
      <c r="Q13" s="1"/>
      <c r="R13" s="1"/>
      <c r="S13" s="1"/>
      <c r="T13" s="1"/>
      <c r="U13" s="1"/>
      <c r="V13" s="1"/>
      <c r="W13" s="1"/>
      <c r="X13" s="1"/>
    </row>
    <row r="14" spans="1:24">
      <c r="A14" s="1"/>
      <c r="B14" s="9">
        <v>10</v>
      </c>
      <c r="C14" s="17" t="s">
        <v>37</v>
      </c>
      <c r="D14" s="11" t="s">
        <v>38</v>
      </c>
      <c r="E14" s="20">
        <v>1</v>
      </c>
      <c r="F14" s="20">
        <v>2</v>
      </c>
      <c r="G14" s="20">
        <v>4</v>
      </c>
      <c r="H14" s="19">
        <f t="shared" si="0"/>
        <v>2.2000000000000002</v>
      </c>
      <c r="I14" s="19">
        <v>0.8</v>
      </c>
      <c r="J14" s="19">
        <f t="shared" si="2"/>
        <v>3</v>
      </c>
      <c r="K14" s="10" t="s">
        <v>18</v>
      </c>
      <c r="L14" s="23"/>
      <c r="M14" s="1">
        <f t="shared" si="3"/>
        <v>0</v>
      </c>
      <c r="N14" s="1">
        <f t="shared" si="4"/>
        <v>3</v>
      </c>
      <c r="O14" s="1">
        <f t="shared" si="5"/>
        <v>0</v>
      </c>
      <c r="P14" s="1">
        <f t="shared" si="6"/>
        <v>0</v>
      </c>
      <c r="Q14" s="1"/>
      <c r="R14" s="1"/>
      <c r="S14" s="1"/>
      <c r="T14" s="1"/>
      <c r="U14" s="1"/>
      <c r="V14" s="1"/>
      <c r="W14" s="1"/>
      <c r="X14" s="1"/>
    </row>
    <row r="15" spans="1:24">
      <c r="A15" s="1"/>
      <c r="B15" s="9">
        <v>11</v>
      </c>
      <c r="C15" s="17" t="s">
        <v>39</v>
      </c>
      <c r="D15" s="11" t="s">
        <v>40</v>
      </c>
      <c r="E15" s="20">
        <v>1</v>
      </c>
      <c r="F15" s="20">
        <v>1</v>
      </c>
      <c r="G15" s="20">
        <v>2</v>
      </c>
      <c r="H15" s="19">
        <f t="shared" si="0"/>
        <v>1.2</v>
      </c>
      <c r="I15" s="19">
        <v>0.3</v>
      </c>
      <c r="J15" s="19">
        <f t="shared" si="2"/>
        <v>1.5</v>
      </c>
      <c r="K15" s="10" t="s">
        <v>18</v>
      </c>
      <c r="L15" s="23"/>
      <c r="M15" s="1">
        <f t="shared" si="3"/>
        <v>0</v>
      </c>
      <c r="N15" s="1">
        <f t="shared" si="4"/>
        <v>1.5</v>
      </c>
      <c r="O15" s="1">
        <f t="shared" si="5"/>
        <v>0</v>
      </c>
      <c r="P15" s="1">
        <f t="shared" si="6"/>
        <v>0</v>
      </c>
      <c r="Q15" s="1"/>
      <c r="R15" s="1"/>
      <c r="S15" s="1"/>
      <c r="T15" s="1"/>
      <c r="U15" s="1"/>
      <c r="V15" s="1"/>
      <c r="W15" s="1"/>
      <c r="X15" s="1"/>
    </row>
    <row r="16" spans="1:24">
      <c r="A16" s="1"/>
      <c r="B16" s="9"/>
      <c r="C16" s="16" t="s">
        <v>41</v>
      </c>
      <c r="D16" s="9"/>
      <c r="E16" s="19"/>
      <c r="F16" s="19"/>
      <c r="G16" s="19"/>
      <c r="H16" s="19"/>
      <c r="I16" s="19"/>
      <c r="J16" s="19"/>
      <c r="K16" s="10"/>
      <c r="L16" s="23"/>
      <c r="M16" s="1">
        <f t="shared" si="3"/>
        <v>0</v>
      </c>
      <c r="N16" s="1">
        <f t="shared" si="4"/>
        <v>0</v>
      </c>
      <c r="O16" s="1">
        <f t="shared" si="5"/>
        <v>0</v>
      </c>
      <c r="P16" s="1">
        <f t="shared" si="6"/>
        <v>0</v>
      </c>
      <c r="Q16" s="1"/>
      <c r="R16" s="1"/>
      <c r="S16" s="1"/>
      <c r="T16" s="1"/>
      <c r="U16" s="1"/>
      <c r="V16" s="1"/>
      <c r="W16" s="1"/>
      <c r="X16" s="1"/>
    </row>
    <row r="17" spans="1:24">
      <c r="A17" s="1"/>
      <c r="B17" s="9">
        <v>12</v>
      </c>
      <c r="C17" s="17" t="s">
        <v>42</v>
      </c>
      <c r="D17" s="11" t="s">
        <v>43</v>
      </c>
      <c r="E17" s="20" t="s">
        <v>28</v>
      </c>
      <c r="F17" s="20">
        <v>1</v>
      </c>
      <c r="G17" s="20">
        <v>1.5</v>
      </c>
      <c r="H17" s="19">
        <f t="shared" si="0"/>
        <v>1</v>
      </c>
      <c r="I17" s="19">
        <v>0</v>
      </c>
      <c r="J17" s="19">
        <f t="shared" si="2"/>
        <v>1</v>
      </c>
      <c r="K17" s="10" t="s">
        <v>18</v>
      </c>
      <c r="L17" s="23"/>
      <c r="M17" s="1">
        <f t="shared" si="3"/>
        <v>0</v>
      </c>
      <c r="N17" s="1">
        <f t="shared" si="4"/>
        <v>1</v>
      </c>
      <c r="O17" s="1">
        <f t="shared" si="5"/>
        <v>0</v>
      </c>
      <c r="P17" s="1">
        <f t="shared" si="6"/>
        <v>0</v>
      </c>
      <c r="Q17" s="1"/>
      <c r="R17" s="1"/>
      <c r="S17" s="1"/>
      <c r="T17" s="1"/>
      <c r="U17" s="1"/>
      <c r="V17" s="1"/>
      <c r="W17" s="1"/>
      <c r="X17" s="1"/>
    </row>
    <row r="18" spans="1:24">
      <c r="A18" s="1"/>
      <c r="B18" s="9">
        <v>13</v>
      </c>
      <c r="C18" s="17" t="s">
        <v>44</v>
      </c>
      <c r="D18" s="11" t="s">
        <v>45</v>
      </c>
      <c r="E18" s="20">
        <v>1</v>
      </c>
      <c r="F18" s="20">
        <v>2</v>
      </c>
      <c r="G18" s="20">
        <v>3</v>
      </c>
      <c r="H18" s="19">
        <f t="shared" si="0"/>
        <v>2</v>
      </c>
      <c r="I18" s="19">
        <v>0.5</v>
      </c>
      <c r="J18" s="19">
        <f t="shared" si="2"/>
        <v>2.5</v>
      </c>
      <c r="K18" s="10" t="s">
        <v>18</v>
      </c>
      <c r="L18" s="23"/>
      <c r="M18" s="1">
        <f t="shared" si="3"/>
        <v>0</v>
      </c>
      <c r="N18" s="1">
        <f t="shared" si="4"/>
        <v>2.5</v>
      </c>
      <c r="O18" s="1">
        <f t="shared" si="5"/>
        <v>0</v>
      </c>
      <c r="P18" s="1">
        <f t="shared" si="6"/>
        <v>0</v>
      </c>
      <c r="Q18" s="1"/>
      <c r="R18" s="1"/>
      <c r="S18" s="1"/>
      <c r="T18" s="1"/>
      <c r="U18" s="1"/>
      <c r="V18" s="1"/>
      <c r="W18" s="1"/>
      <c r="X18" s="1"/>
    </row>
    <row r="19" spans="1:24">
      <c r="A19" s="1"/>
      <c r="B19" s="9">
        <v>15</v>
      </c>
      <c r="C19" s="17" t="s">
        <v>46</v>
      </c>
      <c r="D19" s="11" t="s">
        <v>47</v>
      </c>
      <c r="E19" s="20">
        <v>1</v>
      </c>
      <c r="F19" s="20">
        <v>2</v>
      </c>
      <c r="G19" s="20">
        <v>3</v>
      </c>
      <c r="H19" s="19">
        <f>ROUND((E19+4*F19+G19)/6,1)</f>
        <v>2</v>
      </c>
      <c r="I19" s="19">
        <v>0.5</v>
      </c>
      <c r="J19" s="19">
        <f>H19+I19</f>
        <v>2.5</v>
      </c>
      <c r="K19" s="10" t="s">
        <v>18</v>
      </c>
      <c r="L19" s="23"/>
      <c r="M19" s="1">
        <f t="shared" si="3"/>
        <v>0</v>
      </c>
      <c r="N19" s="1">
        <f t="shared" si="4"/>
        <v>2.5</v>
      </c>
      <c r="O19" s="1">
        <f t="shared" si="5"/>
        <v>0</v>
      </c>
      <c r="P19" s="1">
        <f t="shared" si="6"/>
        <v>0</v>
      </c>
      <c r="Q19" s="1"/>
      <c r="R19" s="1"/>
      <c r="S19" s="1"/>
      <c r="T19" s="1"/>
      <c r="U19" s="1"/>
      <c r="V19" s="1"/>
      <c r="W19" s="1"/>
      <c r="X19" s="1"/>
    </row>
    <row r="20" spans="1:24">
      <c r="A20" s="1"/>
      <c r="B20" s="9">
        <v>16</v>
      </c>
      <c r="C20" s="17" t="s">
        <v>48</v>
      </c>
      <c r="D20" s="11" t="s">
        <v>49</v>
      </c>
      <c r="E20" s="20">
        <v>1</v>
      </c>
      <c r="F20" s="20">
        <v>2</v>
      </c>
      <c r="G20" s="20">
        <v>3</v>
      </c>
      <c r="H20" s="19">
        <f>ROUND((E20+4*F20+G20)/6,1)</f>
        <v>2</v>
      </c>
      <c r="I20" s="19">
        <v>0.5</v>
      </c>
      <c r="J20" s="19">
        <f>H20+I20</f>
        <v>2.5</v>
      </c>
      <c r="K20" s="10" t="s">
        <v>18</v>
      </c>
      <c r="L20" s="23"/>
      <c r="M20" s="1">
        <f t="shared" si="3"/>
        <v>0</v>
      </c>
      <c r="N20" s="1">
        <f t="shared" si="4"/>
        <v>2.5</v>
      </c>
      <c r="O20" s="1">
        <f t="shared" si="5"/>
        <v>0</v>
      </c>
      <c r="P20" s="1">
        <f t="shared" si="6"/>
        <v>0</v>
      </c>
      <c r="Q20" s="1"/>
      <c r="R20" s="1"/>
      <c r="S20" s="1"/>
      <c r="T20" s="1"/>
      <c r="U20" s="1"/>
      <c r="V20" s="1"/>
      <c r="W20" s="1"/>
      <c r="X20" s="1"/>
    </row>
    <row r="21" spans="1:24">
      <c r="A21" s="1"/>
      <c r="B21" s="9">
        <v>17</v>
      </c>
      <c r="C21" s="17" t="s">
        <v>50</v>
      </c>
      <c r="D21" s="11" t="s">
        <v>51</v>
      </c>
      <c r="E21" s="20" t="s">
        <v>28</v>
      </c>
      <c r="F21" s="20">
        <v>1</v>
      </c>
      <c r="G21" s="20">
        <v>2</v>
      </c>
      <c r="H21" s="19">
        <f>ROUND((E21+4*F21+G21)/6,1)</f>
        <v>1.1000000000000001</v>
      </c>
      <c r="I21" s="19">
        <v>0.4</v>
      </c>
      <c r="J21" s="19">
        <f>H21+I21</f>
        <v>1.5</v>
      </c>
      <c r="K21" s="10" t="s">
        <v>18</v>
      </c>
      <c r="L21" s="23"/>
      <c r="M21" s="1">
        <f t="shared" si="3"/>
        <v>0</v>
      </c>
      <c r="N21" s="1">
        <f t="shared" si="4"/>
        <v>1.5</v>
      </c>
      <c r="O21" s="1">
        <f t="shared" si="5"/>
        <v>0</v>
      </c>
      <c r="P21" s="1">
        <f t="shared" si="6"/>
        <v>0</v>
      </c>
      <c r="Q21" s="1"/>
      <c r="R21" s="1"/>
      <c r="S21" s="1"/>
      <c r="T21" s="1"/>
      <c r="U21" s="1"/>
      <c r="V21" s="1"/>
      <c r="W21" s="1"/>
      <c r="X21" s="1"/>
    </row>
    <row r="22" spans="1:24">
      <c r="A22" s="1"/>
      <c r="B22" s="9">
        <v>18</v>
      </c>
      <c r="C22" s="16" t="s">
        <v>52</v>
      </c>
      <c r="D22" s="11" t="s">
        <v>53</v>
      </c>
      <c r="E22" s="20">
        <v>2</v>
      </c>
      <c r="F22" s="20">
        <v>3</v>
      </c>
      <c r="G22" s="20">
        <v>5</v>
      </c>
      <c r="H22" s="19">
        <f>ROUND((E22+4*F22+G22)/6,1)</f>
        <v>3.2</v>
      </c>
      <c r="I22" s="19">
        <v>0.8</v>
      </c>
      <c r="J22" s="19">
        <f>H22+I22</f>
        <v>4</v>
      </c>
      <c r="K22" s="10" t="s">
        <v>18</v>
      </c>
      <c r="L22" s="23"/>
      <c r="M22" s="1">
        <f t="shared" si="3"/>
        <v>0</v>
      </c>
      <c r="N22" s="1">
        <f t="shared" si="4"/>
        <v>4</v>
      </c>
      <c r="O22" s="1">
        <f t="shared" si="5"/>
        <v>0</v>
      </c>
      <c r="P22" s="1">
        <f t="shared" si="6"/>
        <v>0</v>
      </c>
      <c r="Q22" s="1"/>
      <c r="R22" s="1"/>
      <c r="S22" s="1"/>
      <c r="T22" s="1"/>
      <c r="U22" s="1"/>
      <c r="V22" s="1"/>
      <c r="W22" s="1"/>
      <c r="X22" s="1"/>
    </row>
    <row r="23" spans="1:24">
      <c r="A23" s="1"/>
      <c r="B23" s="9"/>
      <c r="C23" s="16" t="s">
        <v>54</v>
      </c>
      <c r="D23" s="9"/>
      <c r="E23" s="19"/>
      <c r="F23" s="19"/>
      <c r="G23" s="19"/>
      <c r="H23" s="19"/>
      <c r="I23" s="19"/>
      <c r="J23" s="19"/>
      <c r="K23" s="10"/>
      <c r="L23" s="23"/>
      <c r="M23" s="1">
        <f t="shared" si="3"/>
        <v>0</v>
      </c>
      <c r="N23" s="1">
        <f t="shared" si="4"/>
        <v>0</v>
      </c>
      <c r="O23" s="1">
        <f t="shared" si="5"/>
        <v>0</v>
      </c>
      <c r="P23" s="1">
        <f t="shared" si="6"/>
        <v>0</v>
      </c>
      <c r="Q23" s="1"/>
      <c r="R23" s="1"/>
      <c r="S23" s="1"/>
      <c r="T23" s="1"/>
      <c r="U23" s="1"/>
      <c r="V23" s="1"/>
      <c r="W23" s="1"/>
      <c r="X23" s="1"/>
    </row>
    <row r="24" spans="1:24">
      <c r="A24" s="1"/>
      <c r="B24" s="9">
        <v>19</v>
      </c>
      <c r="C24" s="17" t="s">
        <v>55</v>
      </c>
      <c r="D24" s="11" t="s">
        <v>56</v>
      </c>
      <c r="E24" s="20" t="s">
        <v>28</v>
      </c>
      <c r="F24" s="20">
        <v>1</v>
      </c>
      <c r="G24" s="20">
        <v>2</v>
      </c>
      <c r="H24" s="19">
        <f>ROUND((E24+4*F24+G24)/6,1)</f>
        <v>1.1000000000000001</v>
      </c>
      <c r="I24" s="19">
        <v>0.4</v>
      </c>
      <c r="J24" s="19">
        <f t="shared" si="2"/>
        <v>1.5</v>
      </c>
      <c r="K24" s="10" t="s">
        <v>57</v>
      </c>
      <c r="L24" s="23"/>
      <c r="M24" s="1">
        <f t="shared" si="3"/>
        <v>0</v>
      </c>
      <c r="N24" s="1">
        <f t="shared" si="4"/>
        <v>0</v>
      </c>
      <c r="O24" s="1">
        <f t="shared" si="5"/>
        <v>1.5</v>
      </c>
      <c r="P24" s="1">
        <f t="shared" si="6"/>
        <v>0</v>
      </c>
      <c r="Q24" s="1"/>
      <c r="R24" s="1"/>
      <c r="S24" s="1"/>
      <c r="T24" s="1"/>
      <c r="U24" s="1"/>
      <c r="V24" s="1"/>
      <c r="W24" s="1"/>
      <c r="X24" s="1"/>
    </row>
    <row r="25" spans="1:24">
      <c r="A25" s="1"/>
      <c r="B25" s="9">
        <v>20</v>
      </c>
      <c r="C25" s="17" t="s">
        <v>58</v>
      </c>
      <c r="D25" s="11" t="s">
        <v>59</v>
      </c>
      <c r="E25" s="20">
        <v>1</v>
      </c>
      <c r="F25" s="20">
        <v>2</v>
      </c>
      <c r="G25" s="20">
        <v>3</v>
      </c>
      <c r="H25" s="19">
        <f t="shared" ref="H25:H66" si="7">ROUND((E25+4*F25+G25)/6,1)</f>
        <v>2</v>
      </c>
      <c r="I25" s="19">
        <v>0.5</v>
      </c>
      <c r="J25" s="19">
        <f t="shared" si="2"/>
        <v>2.5</v>
      </c>
      <c r="K25" s="10" t="s">
        <v>57</v>
      </c>
      <c r="L25" s="23"/>
      <c r="M25" s="1">
        <f t="shared" si="3"/>
        <v>0</v>
      </c>
      <c r="N25" s="1">
        <f t="shared" si="4"/>
        <v>0</v>
      </c>
      <c r="O25" s="1">
        <f t="shared" si="5"/>
        <v>2.5</v>
      </c>
      <c r="P25" s="1">
        <f t="shared" si="6"/>
        <v>0</v>
      </c>
      <c r="Q25" s="1"/>
      <c r="R25" s="1"/>
      <c r="S25" s="1"/>
      <c r="T25" s="1"/>
      <c r="U25" s="1"/>
      <c r="V25" s="1"/>
      <c r="W25" s="1"/>
      <c r="X25" s="1"/>
    </row>
    <row r="26" spans="1:24">
      <c r="A26" s="1"/>
      <c r="B26" s="9">
        <v>21</v>
      </c>
      <c r="C26" s="17" t="s">
        <v>60</v>
      </c>
      <c r="D26" s="11" t="s">
        <v>61</v>
      </c>
      <c r="E26" s="20">
        <v>1</v>
      </c>
      <c r="F26" s="20">
        <v>2</v>
      </c>
      <c r="G26" s="20">
        <v>3</v>
      </c>
      <c r="H26" s="19">
        <f t="shared" si="7"/>
        <v>2</v>
      </c>
      <c r="I26" s="19">
        <v>0.5</v>
      </c>
      <c r="J26" s="19">
        <f t="shared" si="2"/>
        <v>2.5</v>
      </c>
      <c r="K26" s="10" t="s">
        <v>57</v>
      </c>
      <c r="L26" s="23"/>
      <c r="M26" s="1">
        <f t="shared" si="3"/>
        <v>0</v>
      </c>
      <c r="N26" s="1">
        <f t="shared" si="4"/>
        <v>0</v>
      </c>
      <c r="O26" s="1">
        <f t="shared" si="5"/>
        <v>2.5</v>
      </c>
      <c r="P26" s="1">
        <f t="shared" si="6"/>
        <v>0</v>
      </c>
      <c r="Q26" s="1"/>
      <c r="R26" s="1"/>
      <c r="S26" s="1"/>
      <c r="T26" s="1"/>
      <c r="U26" s="1"/>
      <c r="V26" s="1"/>
      <c r="W26" s="1"/>
      <c r="X26" s="1"/>
    </row>
    <row r="27" spans="1:24">
      <c r="A27" s="1"/>
      <c r="B27" s="9">
        <v>22</v>
      </c>
      <c r="C27" s="17" t="s">
        <v>62</v>
      </c>
      <c r="D27" s="11" t="s">
        <v>63</v>
      </c>
      <c r="E27" s="20">
        <v>1</v>
      </c>
      <c r="F27" s="20">
        <v>2</v>
      </c>
      <c r="G27" s="20">
        <v>3</v>
      </c>
      <c r="H27" s="19">
        <f t="shared" si="7"/>
        <v>2</v>
      </c>
      <c r="I27" s="19">
        <v>0.5</v>
      </c>
      <c r="J27" s="19">
        <f t="shared" si="2"/>
        <v>2.5</v>
      </c>
      <c r="K27" s="10" t="s">
        <v>57</v>
      </c>
      <c r="L27" s="23"/>
      <c r="M27" s="1">
        <f t="shared" si="3"/>
        <v>0</v>
      </c>
      <c r="N27" s="1">
        <f t="shared" si="4"/>
        <v>0</v>
      </c>
      <c r="O27" s="1">
        <f t="shared" si="5"/>
        <v>2.5</v>
      </c>
      <c r="P27" s="1">
        <f t="shared" si="6"/>
        <v>0</v>
      </c>
      <c r="Q27" s="1"/>
      <c r="R27" s="1"/>
      <c r="S27" s="1"/>
      <c r="T27" s="1"/>
      <c r="U27" s="1"/>
      <c r="V27" s="1"/>
      <c r="W27" s="1"/>
      <c r="X27" s="1"/>
    </row>
    <row r="28" spans="1:24">
      <c r="A28" s="1"/>
      <c r="B28" s="9">
        <v>23</v>
      </c>
      <c r="C28" s="17" t="s">
        <v>64</v>
      </c>
      <c r="D28" s="13" t="s">
        <v>65</v>
      </c>
      <c r="E28" s="19">
        <v>1</v>
      </c>
      <c r="F28" s="19">
        <v>2</v>
      </c>
      <c r="G28" s="19">
        <v>3</v>
      </c>
      <c r="H28" s="19">
        <f t="shared" si="7"/>
        <v>2</v>
      </c>
      <c r="I28" s="19">
        <v>0.5</v>
      </c>
      <c r="J28" s="19">
        <f t="shared" si="2"/>
        <v>2.5</v>
      </c>
      <c r="K28" s="10" t="s">
        <v>57</v>
      </c>
      <c r="L28" s="23"/>
      <c r="M28" s="1">
        <f t="shared" si="3"/>
        <v>0</v>
      </c>
      <c r="N28" s="1">
        <f t="shared" si="4"/>
        <v>0</v>
      </c>
      <c r="O28" s="1">
        <f t="shared" si="5"/>
        <v>2.5</v>
      </c>
      <c r="P28" s="1">
        <f t="shared" si="6"/>
        <v>0</v>
      </c>
      <c r="Q28" s="1"/>
      <c r="R28" s="1"/>
      <c r="S28" s="1"/>
      <c r="T28" s="1"/>
      <c r="U28" s="1"/>
      <c r="V28" s="1"/>
      <c r="W28" s="1"/>
      <c r="X28" s="1"/>
    </row>
    <row r="29" spans="1:24">
      <c r="A29" s="1"/>
      <c r="B29" s="9"/>
      <c r="C29" s="16" t="s">
        <v>66</v>
      </c>
      <c r="D29" s="9"/>
      <c r="E29" s="19"/>
      <c r="F29" s="19"/>
      <c r="G29" s="19"/>
      <c r="H29" s="19">
        <f t="shared" si="7"/>
        <v>0</v>
      </c>
      <c r="I29" s="19"/>
      <c r="J29" s="19">
        <f t="shared" si="2"/>
        <v>0</v>
      </c>
      <c r="K29" s="10"/>
      <c r="L29" s="23"/>
      <c r="M29" s="1">
        <f t="shared" si="3"/>
        <v>0</v>
      </c>
      <c r="N29" s="1">
        <f t="shared" si="4"/>
        <v>0</v>
      </c>
      <c r="O29" s="1">
        <f t="shared" si="5"/>
        <v>0</v>
      </c>
      <c r="P29" s="1">
        <f t="shared" si="6"/>
        <v>0</v>
      </c>
      <c r="Q29" s="1"/>
      <c r="R29" s="1"/>
      <c r="S29" s="1"/>
      <c r="T29" s="1"/>
      <c r="U29" s="1"/>
      <c r="V29" s="1"/>
      <c r="W29" s="1"/>
      <c r="X29" s="1"/>
    </row>
    <row r="30" spans="1:24">
      <c r="A30" s="1"/>
      <c r="B30" s="9">
        <v>21</v>
      </c>
      <c r="C30" s="17" t="s">
        <v>67</v>
      </c>
      <c r="D30" s="10" t="s">
        <v>68</v>
      </c>
      <c r="E30" s="21" t="s">
        <v>28</v>
      </c>
      <c r="F30" s="21">
        <v>1</v>
      </c>
      <c r="G30" s="21">
        <v>2</v>
      </c>
      <c r="H30" s="19">
        <f t="shared" si="7"/>
        <v>1.1000000000000001</v>
      </c>
      <c r="I30" s="19">
        <v>0.4</v>
      </c>
      <c r="J30" s="19">
        <f t="shared" si="2"/>
        <v>1.5</v>
      </c>
      <c r="K30" s="10" t="s">
        <v>69</v>
      </c>
      <c r="L30" s="23"/>
      <c r="M30" s="1">
        <f t="shared" si="3"/>
        <v>0</v>
      </c>
      <c r="N30" s="1">
        <f t="shared" si="4"/>
        <v>0</v>
      </c>
      <c r="O30" s="1">
        <f t="shared" si="5"/>
        <v>0</v>
      </c>
      <c r="P30" s="1">
        <f t="shared" si="6"/>
        <v>1.5</v>
      </c>
      <c r="Q30" s="1"/>
      <c r="R30" s="1"/>
      <c r="S30" s="1"/>
      <c r="T30" s="1"/>
      <c r="U30" s="1"/>
      <c r="V30" s="1"/>
      <c r="W30" s="1"/>
      <c r="X30" s="1"/>
    </row>
    <row r="31" spans="1:24">
      <c r="A31" s="1"/>
      <c r="B31" s="9">
        <v>22</v>
      </c>
      <c r="C31" s="17" t="s">
        <v>70</v>
      </c>
      <c r="D31" s="10" t="s">
        <v>71</v>
      </c>
      <c r="E31" s="21">
        <v>1</v>
      </c>
      <c r="F31" s="21">
        <v>1</v>
      </c>
      <c r="G31" s="21">
        <v>2</v>
      </c>
      <c r="H31" s="19">
        <f t="shared" si="7"/>
        <v>1.2</v>
      </c>
      <c r="I31" s="19">
        <v>0.3</v>
      </c>
      <c r="J31" s="19">
        <f t="shared" si="2"/>
        <v>1.5</v>
      </c>
      <c r="K31" s="10" t="s">
        <v>69</v>
      </c>
      <c r="L31" s="23"/>
      <c r="M31" s="1">
        <f t="shared" si="3"/>
        <v>0</v>
      </c>
      <c r="N31" s="1">
        <f t="shared" si="4"/>
        <v>0</v>
      </c>
      <c r="O31" s="1">
        <f t="shared" si="5"/>
        <v>0</v>
      </c>
      <c r="P31" s="1">
        <f t="shared" si="6"/>
        <v>1.5</v>
      </c>
      <c r="Q31" s="1"/>
      <c r="R31" s="1"/>
      <c r="S31" s="1"/>
      <c r="T31" s="1"/>
      <c r="U31" s="1"/>
      <c r="V31" s="1"/>
      <c r="W31" s="1"/>
      <c r="X31" s="1"/>
    </row>
    <row r="32" spans="1:24">
      <c r="A32" s="1"/>
      <c r="B32" s="9">
        <v>23</v>
      </c>
      <c r="C32" s="17" t="s">
        <v>72</v>
      </c>
      <c r="D32" s="10" t="s">
        <v>73</v>
      </c>
      <c r="E32" s="21">
        <v>1</v>
      </c>
      <c r="F32" s="21">
        <v>1</v>
      </c>
      <c r="G32" s="21">
        <v>2</v>
      </c>
      <c r="H32" s="19">
        <f t="shared" si="7"/>
        <v>1.2</v>
      </c>
      <c r="I32" s="19">
        <v>0.3</v>
      </c>
      <c r="J32" s="19">
        <f t="shared" si="2"/>
        <v>1.5</v>
      </c>
      <c r="K32" s="10" t="s">
        <v>69</v>
      </c>
      <c r="L32" s="23"/>
      <c r="M32" s="1">
        <f t="shared" si="3"/>
        <v>0</v>
      </c>
      <c r="N32" s="1">
        <f t="shared" si="4"/>
        <v>0</v>
      </c>
      <c r="O32" s="1">
        <f t="shared" si="5"/>
        <v>0</v>
      </c>
      <c r="P32" s="1">
        <f t="shared" si="6"/>
        <v>1.5</v>
      </c>
      <c r="Q32" s="1"/>
      <c r="R32" s="1"/>
      <c r="S32" s="1"/>
      <c r="T32" s="1"/>
      <c r="U32" s="1"/>
      <c r="V32" s="1"/>
      <c r="W32" s="1"/>
      <c r="X32" s="1"/>
    </row>
    <row r="33" spans="1:24">
      <c r="A33" s="1"/>
      <c r="B33" s="9">
        <v>24</v>
      </c>
      <c r="C33" s="17" t="s">
        <v>74</v>
      </c>
      <c r="D33" s="10" t="s">
        <v>75</v>
      </c>
      <c r="E33" s="21">
        <v>1</v>
      </c>
      <c r="F33" s="21">
        <v>1</v>
      </c>
      <c r="G33" s="21">
        <v>2</v>
      </c>
      <c r="H33" s="19">
        <f t="shared" si="7"/>
        <v>1.2</v>
      </c>
      <c r="I33" s="19">
        <v>0.3</v>
      </c>
      <c r="J33" s="19">
        <f t="shared" si="2"/>
        <v>1.5</v>
      </c>
      <c r="K33" s="10" t="s">
        <v>69</v>
      </c>
      <c r="L33" s="23"/>
      <c r="M33" s="1">
        <f t="shared" si="3"/>
        <v>0</v>
      </c>
      <c r="N33" s="1">
        <f t="shared" si="4"/>
        <v>0</v>
      </c>
      <c r="O33" s="1">
        <f t="shared" si="5"/>
        <v>0</v>
      </c>
      <c r="P33" s="1">
        <f t="shared" si="6"/>
        <v>1.5</v>
      </c>
      <c r="Q33" s="1"/>
      <c r="R33" s="1"/>
      <c r="S33" s="1"/>
      <c r="T33" s="1"/>
      <c r="U33" s="1"/>
      <c r="V33" s="1"/>
      <c r="W33" s="1"/>
      <c r="X33" s="1"/>
    </row>
    <row r="34" spans="1:24">
      <c r="A34" s="1"/>
      <c r="B34" s="9">
        <v>25</v>
      </c>
      <c r="C34" s="17" t="s">
        <v>76</v>
      </c>
      <c r="D34" s="10" t="s">
        <v>77</v>
      </c>
      <c r="E34" s="19">
        <v>1</v>
      </c>
      <c r="F34" s="19">
        <v>1</v>
      </c>
      <c r="G34" s="19">
        <v>2</v>
      </c>
      <c r="H34" s="19">
        <f t="shared" si="7"/>
        <v>1.2</v>
      </c>
      <c r="I34" s="19">
        <v>0.3</v>
      </c>
      <c r="J34" s="19">
        <f t="shared" si="2"/>
        <v>1.5</v>
      </c>
      <c r="K34" s="10" t="s">
        <v>69</v>
      </c>
      <c r="L34" s="23"/>
      <c r="M34" s="1">
        <f t="shared" si="3"/>
        <v>0</v>
      </c>
      <c r="N34" s="1">
        <f t="shared" si="4"/>
        <v>0</v>
      </c>
      <c r="O34" s="1">
        <f t="shared" si="5"/>
        <v>0</v>
      </c>
      <c r="P34" s="1">
        <f t="shared" si="6"/>
        <v>1.5</v>
      </c>
      <c r="Q34" s="1"/>
      <c r="R34" s="1"/>
      <c r="S34" s="1"/>
      <c r="T34" s="1"/>
      <c r="U34" s="1"/>
      <c r="V34" s="1"/>
      <c r="W34" s="1"/>
      <c r="X34" s="1"/>
    </row>
    <row r="35" spans="1:24">
      <c r="A35" s="1"/>
      <c r="B35" s="9">
        <v>26</v>
      </c>
      <c r="C35" s="17" t="s">
        <v>78</v>
      </c>
      <c r="D35" s="10"/>
      <c r="E35" s="19"/>
      <c r="F35" s="19"/>
      <c r="G35" s="19"/>
      <c r="H35" s="19">
        <f t="shared" si="7"/>
        <v>0</v>
      </c>
      <c r="I35" s="19"/>
      <c r="J35" s="19">
        <f t="shared" si="2"/>
        <v>0</v>
      </c>
      <c r="K35" s="10"/>
      <c r="L35" s="23"/>
      <c r="M35" s="1">
        <f t="shared" si="3"/>
        <v>0</v>
      </c>
      <c r="N35" s="1">
        <f t="shared" si="4"/>
        <v>0</v>
      </c>
      <c r="O35" s="1">
        <f t="shared" si="5"/>
        <v>0</v>
      </c>
      <c r="P35" s="1">
        <f t="shared" si="6"/>
        <v>0</v>
      </c>
      <c r="Q35" s="1"/>
      <c r="R35" s="1"/>
      <c r="S35" s="1"/>
      <c r="T35" s="1"/>
      <c r="U35" s="1"/>
      <c r="V35" s="1"/>
      <c r="W35" s="1"/>
      <c r="X35" s="1"/>
    </row>
    <row r="36" spans="1:24">
      <c r="A36" s="1"/>
      <c r="B36" s="9"/>
      <c r="C36" s="16" t="s">
        <v>79</v>
      </c>
      <c r="D36" s="9"/>
      <c r="E36" s="19"/>
      <c r="F36" s="19"/>
      <c r="G36" s="19"/>
      <c r="H36" s="19">
        <f t="shared" si="7"/>
        <v>0</v>
      </c>
      <c r="I36" s="19"/>
      <c r="J36" s="19">
        <f t="shared" si="2"/>
        <v>0</v>
      </c>
      <c r="K36" s="10"/>
      <c r="L36" s="23"/>
      <c r="M36" s="1">
        <f t="shared" si="3"/>
        <v>0</v>
      </c>
      <c r="N36" s="1">
        <f t="shared" si="4"/>
        <v>0</v>
      </c>
      <c r="O36" s="1">
        <f t="shared" si="5"/>
        <v>0</v>
      </c>
      <c r="P36" s="1">
        <f t="shared" si="6"/>
        <v>0</v>
      </c>
      <c r="Q36" s="1"/>
      <c r="R36" s="1"/>
      <c r="S36" s="1"/>
      <c r="T36" s="1"/>
      <c r="U36" s="1"/>
      <c r="V36" s="1"/>
      <c r="W36" s="1"/>
      <c r="X36" s="1"/>
    </row>
    <row r="37" spans="1:24">
      <c r="A37" s="1"/>
      <c r="B37" s="9">
        <v>27</v>
      </c>
      <c r="C37" s="17" t="s">
        <v>80</v>
      </c>
      <c r="D37" s="10" t="s">
        <v>81</v>
      </c>
      <c r="E37" s="19">
        <v>3</v>
      </c>
      <c r="F37" s="19">
        <v>4</v>
      </c>
      <c r="G37" s="19">
        <v>6</v>
      </c>
      <c r="H37" s="19">
        <f t="shared" si="7"/>
        <v>4.2</v>
      </c>
      <c r="I37" s="19">
        <v>0.8</v>
      </c>
      <c r="J37" s="19">
        <f t="shared" si="2"/>
        <v>5</v>
      </c>
      <c r="K37" s="10" t="s">
        <v>18</v>
      </c>
      <c r="L37" s="23"/>
      <c r="M37" s="1">
        <f t="shared" si="3"/>
        <v>0</v>
      </c>
      <c r="N37" s="1">
        <f t="shared" si="4"/>
        <v>5</v>
      </c>
      <c r="O37" s="1">
        <f t="shared" si="5"/>
        <v>0</v>
      </c>
      <c r="P37" s="1">
        <f t="shared" si="6"/>
        <v>0</v>
      </c>
      <c r="Q37" s="1"/>
      <c r="R37" s="1"/>
      <c r="S37" s="1"/>
      <c r="T37" s="1"/>
      <c r="U37" s="1"/>
      <c r="V37" s="1"/>
      <c r="W37" s="1"/>
      <c r="X37" s="1"/>
    </row>
    <row r="38" spans="1:24">
      <c r="A38" s="1"/>
      <c r="B38" s="9">
        <v>28</v>
      </c>
      <c r="C38" s="17" t="s">
        <v>82</v>
      </c>
      <c r="D38" s="10" t="s">
        <v>83</v>
      </c>
      <c r="E38" s="19">
        <v>2</v>
      </c>
      <c r="F38" s="19">
        <v>3</v>
      </c>
      <c r="G38" s="19">
        <v>5</v>
      </c>
      <c r="H38" s="19">
        <f t="shared" si="7"/>
        <v>3.2</v>
      </c>
      <c r="I38" s="19">
        <v>0.8</v>
      </c>
      <c r="J38" s="19">
        <f t="shared" si="2"/>
        <v>4</v>
      </c>
      <c r="K38" s="10" t="s">
        <v>18</v>
      </c>
      <c r="L38" s="23"/>
      <c r="M38" s="1">
        <f t="shared" si="3"/>
        <v>0</v>
      </c>
      <c r="N38" s="1">
        <f t="shared" si="4"/>
        <v>4</v>
      </c>
      <c r="O38" s="1">
        <f t="shared" si="5"/>
        <v>0</v>
      </c>
      <c r="P38" s="1">
        <f t="shared" si="6"/>
        <v>0</v>
      </c>
      <c r="Q38" s="1"/>
      <c r="R38" s="1"/>
      <c r="S38" s="1"/>
      <c r="T38" s="1"/>
      <c r="U38" s="1"/>
      <c r="V38" s="1"/>
      <c r="W38" s="1"/>
      <c r="X38" s="1"/>
    </row>
    <row r="39" spans="1:24">
      <c r="A39" s="1"/>
      <c r="B39" s="9">
        <v>29</v>
      </c>
      <c r="C39" s="16" t="s">
        <v>84</v>
      </c>
      <c r="D39" s="10" t="s">
        <v>85</v>
      </c>
      <c r="E39" s="19">
        <v>0.5</v>
      </c>
      <c r="F39" s="19">
        <v>1</v>
      </c>
      <c r="G39" s="19">
        <v>1.5</v>
      </c>
      <c r="H39" s="19">
        <f t="shared" si="7"/>
        <v>1</v>
      </c>
      <c r="I39" s="19">
        <v>0</v>
      </c>
      <c r="J39" s="19">
        <f t="shared" si="2"/>
        <v>1</v>
      </c>
      <c r="K39" s="10" t="s">
        <v>25</v>
      </c>
      <c r="L39" s="23"/>
      <c r="M39" s="1">
        <f t="shared" si="3"/>
        <v>1</v>
      </c>
      <c r="N39" s="1">
        <f t="shared" si="4"/>
        <v>0</v>
      </c>
      <c r="O39" s="1">
        <f t="shared" si="5"/>
        <v>0</v>
      </c>
      <c r="P39" s="1">
        <f t="shared" si="6"/>
        <v>0</v>
      </c>
      <c r="Q39" s="1"/>
      <c r="R39" s="1"/>
      <c r="S39" s="1"/>
      <c r="T39" s="1"/>
      <c r="U39" s="1"/>
      <c r="V39" s="1"/>
      <c r="W39" s="1"/>
      <c r="X39" s="1"/>
    </row>
    <row r="40" spans="1:24">
      <c r="A40" s="1"/>
      <c r="B40" s="9">
        <v>30</v>
      </c>
      <c r="C40" s="16" t="s">
        <v>86</v>
      </c>
      <c r="D40" s="10" t="s">
        <v>87</v>
      </c>
      <c r="E40" s="19">
        <v>1</v>
      </c>
      <c r="F40" s="19">
        <v>2</v>
      </c>
      <c r="G40" s="19">
        <v>4</v>
      </c>
      <c r="H40" s="19">
        <f t="shared" si="7"/>
        <v>2.2000000000000002</v>
      </c>
      <c r="I40" s="19">
        <v>0.8</v>
      </c>
      <c r="J40" s="19">
        <f t="shared" si="2"/>
        <v>3</v>
      </c>
      <c r="K40" s="10" t="s">
        <v>18</v>
      </c>
      <c r="L40" s="23"/>
      <c r="M40" s="1">
        <f t="shared" si="3"/>
        <v>0</v>
      </c>
      <c r="N40" s="1">
        <f t="shared" si="4"/>
        <v>3</v>
      </c>
      <c r="O40" s="1">
        <f t="shared" si="5"/>
        <v>0</v>
      </c>
      <c r="P40" s="1">
        <f t="shared" si="6"/>
        <v>0</v>
      </c>
      <c r="Q40" s="1"/>
      <c r="R40" s="1"/>
      <c r="S40" s="1"/>
      <c r="T40" s="1"/>
      <c r="U40" s="1"/>
      <c r="V40" s="1"/>
      <c r="W40" s="1"/>
      <c r="X40" s="1"/>
    </row>
    <row r="41" spans="1:24">
      <c r="A41" s="1"/>
      <c r="B41" s="9"/>
      <c r="C41" s="15" t="s">
        <v>88</v>
      </c>
      <c r="D41" s="10"/>
      <c r="E41" s="19"/>
      <c r="F41" s="19"/>
      <c r="G41" s="19"/>
      <c r="H41" s="19">
        <f t="shared" si="7"/>
        <v>0</v>
      </c>
      <c r="I41" s="19"/>
      <c r="J41" s="19">
        <f t="shared" si="2"/>
        <v>0</v>
      </c>
      <c r="K41" s="10"/>
      <c r="L41" s="23"/>
      <c r="M41" s="1">
        <f t="shared" si="3"/>
        <v>0</v>
      </c>
      <c r="N41" s="1">
        <f t="shared" si="4"/>
        <v>0</v>
      </c>
      <c r="O41" s="1">
        <f t="shared" si="5"/>
        <v>0</v>
      </c>
      <c r="P41" s="1">
        <f t="shared" si="6"/>
        <v>0</v>
      </c>
      <c r="Q41" s="1"/>
      <c r="R41" s="1"/>
      <c r="S41" s="1"/>
      <c r="T41" s="1"/>
      <c r="U41" s="1"/>
      <c r="V41" s="1"/>
      <c r="W41" s="1"/>
      <c r="X41" s="1"/>
    </row>
    <row r="42" spans="1:24">
      <c r="A42" s="1"/>
      <c r="B42" s="9">
        <v>31</v>
      </c>
      <c r="C42" s="16" t="s">
        <v>89</v>
      </c>
      <c r="D42" s="10" t="s">
        <v>90</v>
      </c>
      <c r="E42" s="19">
        <v>2</v>
      </c>
      <c r="F42" s="19">
        <v>3</v>
      </c>
      <c r="G42" s="19">
        <v>5</v>
      </c>
      <c r="H42" s="19">
        <f t="shared" si="7"/>
        <v>3.2</v>
      </c>
      <c r="I42" s="19">
        <v>0.8</v>
      </c>
      <c r="J42" s="19">
        <f t="shared" si="2"/>
        <v>4</v>
      </c>
      <c r="K42" s="10" t="s">
        <v>57</v>
      </c>
      <c r="L42" s="23"/>
      <c r="M42" s="1">
        <f t="shared" si="3"/>
        <v>0</v>
      </c>
      <c r="N42" s="1">
        <f t="shared" si="4"/>
        <v>0</v>
      </c>
      <c r="O42" s="1">
        <f t="shared" si="5"/>
        <v>4</v>
      </c>
      <c r="P42" s="1">
        <f t="shared" si="6"/>
        <v>0</v>
      </c>
      <c r="Q42" s="1"/>
      <c r="R42" s="1"/>
      <c r="S42" s="1"/>
      <c r="T42" s="1"/>
      <c r="U42" s="1"/>
      <c r="V42" s="1"/>
      <c r="W42" s="1"/>
      <c r="X42" s="1"/>
    </row>
    <row r="43" spans="1:24">
      <c r="A43" s="1"/>
      <c r="B43" s="9">
        <v>32</v>
      </c>
      <c r="C43" s="16" t="s">
        <v>91</v>
      </c>
      <c r="D43" s="10" t="s">
        <v>92</v>
      </c>
      <c r="E43" s="19">
        <v>3</v>
      </c>
      <c r="F43" s="19">
        <v>4</v>
      </c>
      <c r="G43" s="19">
        <v>6</v>
      </c>
      <c r="H43" s="19">
        <f t="shared" si="7"/>
        <v>4.2</v>
      </c>
      <c r="I43" s="19">
        <v>0.8</v>
      </c>
      <c r="J43" s="19">
        <f t="shared" si="2"/>
        <v>5</v>
      </c>
      <c r="K43" s="10" t="s">
        <v>57</v>
      </c>
      <c r="L43" s="23"/>
      <c r="M43" s="1">
        <f t="shared" si="3"/>
        <v>0</v>
      </c>
      <c r="N43" s="1">
        <f t="shared" si="4"/>
        <v>0</v>
      </c>
      <c r="O43" s="1">
        <f t="shared" si="5"/>
        <v>5</v>
      </c>
      <c r="P43" s="1">
        <f t="shared" si="6"/>
        <v>0</v>
      </c>
      <c r="Q43" s="1"/>
      <c r="R43" s="1"/>
      <c r="S43" s="1"/>
      <c r="T43" s="1"/>
      <c r="U43" s="1"/>
      <c r="V43" s="1"/>
      <c r="W43" s="1"/>
      <c r="X43" s="1"/>
    </row>
    <row r="44" spans="1:24">
      <c r="A44" s="1"/>
      <c r="B44" s="9">
        <v>33</v>
      </c>
      <c r="C44" s="16" t="s">
        <v>93</v>
      </c>
      <c r="D44" s="10" t="s">
        <v>94</v>
      </c>
      <c r="E44" s="19">
        <v>2</v>
      </c>
      <c r="F44" s="19">
        <v>3</v>
      </c>
      <c r="G44" s="19">
        <v>5</v>
      </c>
      <c r="H44" s="19">
        <f t="shared" si="7"/>
        <v>3.2</v>
      </c>
      <c r="I44" s="19">
        <v>0.8</v>
      </c>
      <c r="J44" s="19">
        <f t="shared" si="2"/>
        <v>4</v>
      </c>
      <c r="K44" s="10" t="s">
        <v>57</v>
      </c>
      <c r="L44" s="23"/>
      <c r="M44" s="1">
        <f t="shared" si="3"/>
        <v>0</v>
      </c>
      <c r="N44" s="1">
        <f t="shared" si="4"/>
        <v>0</v>
      </c>
      <c r="O44" s="1">
        <f t="shared" si="5"/>
        <v>4</v>
      </c>
      <c r="P44" s="1">
        <f t="shared" si="6"/>
        <v>0</v>
      </c>
      <c r="Q44" s="1"/>
      <c r="R44" s="1"/>
      <c r="S44" s="1"/>
      <c r="T44" s="1"/>
      <c r="U44" s="1"/>
      <c r="V44" s="1"/>
      <c r="W44" s="1"/>
      <c r="X44" s="1"/>
    </row>
    <row r="45" spans="1:24">
      <c r="A45" s="1"/>
      <c r="B45" s="9">
        <v>34</v>
      </c>
      <c r="C45" s="16" t="s">
        <v>95</v>
      </c>
      <c r="D45" s="10" t="s">
        <v>96</v>
      </c>
      <c r="E45" s="19">
        <v>4</v>
      </c>
      <c r="F45" s="19">
        <v>5</v>
      </c>
      <c r="G45" s="19">
        <v>7</v>
      </c>
      <c r="H45" s="19">
        <f t="shared" si="7"/>
        <v>5.2</v>
      </c>
      <c r="I45" s="19">
        <v>0.8</v>
      </c>
      <c r="J45" s="19">
        <f t="shared" si="2"/>
        <v>6</v>
      </c>
      <c r="K45" s="10" t="s">
        <v>57</v>
      </c>
      <c r="L45" s="23"/>
      <c r="M45" s="1">
        <f t="shared" si="3"/>
        <v>0</v>
      </c>
      <c r="N45" s="1">
        <f t="shared" si="4"/>
        <v>0</v>
      </c>
      <c r="O45" s="1">
        <f t="shared" si="5"/>
        <v>6</v>
      </c>
      <c r="P45" s="1">
        <f t="shared" si="6"/>
        <v>0</v>
      </c>
      <c r="Q45" s="1"/>
      <c r="R45" s="1"/>
      <c r="S45" s="1"/>
      <c r="T45" s="1"/>
      <c r="U45" s="1"/>
      <c r="V45" s="1"/>
      <c r="W45" s="1"/>
      <c r="X45" s="1"/>
    </row>
    <row r="46" spans="1:24">
      <c r="A46" s="1"/>
      <c r="B46" s="9"/>
      <c r="C46" s="16" t="s">
        <v>97</v>
      </c>
      <c r="D46" s="10"/>
      <c r="E46" s="19"/>
      <c r="F46" s="19"/>
      <c r="G46" s="19"/>
      <c r="H46" s="19"/>
      <c r="I46" s="19"/>
      <c r="J46" s="19"/>
      <c r="K46" s="10"/>
      <c r="L46" s="23"/>
      <c r="M46" s="1">
        <f t="shared" si="3"/>
        <v>0</v>
      </c>
      <c r="N46" s="1">
        <f t="shared" si="4"/>
        <v>0</v>
      </c>
      <c r="O46" s="1">
        <f t="shared" si="5"/>
        <v>0</v>
      </c>
      <c r="P46" s="1">
        <f t="shared" si="6"/>
        <v>0</v>
      </c>
      <c r="Q46" s="1"/>
      <c r="R46" s="1"/>
      <c r="S46" s="1"/>
      <c r="T46" s="1"/>
      <c r="U46" s="1"/>
      <c r="V46" s="1"/>
      <c r="W46" s="1"/>
      <c r="X46" s="1"/>
    </row>
    <row r="47" spans="1:24">
      <c r="A47" s="1"/>
      <c r="B47" s="9">
        <v>35</v>
      </c>
      <c r="C47" s="17" t="s">
        <v>98</v>
      </c>
      <c r="D47" s="10" t="s">
        <v>99</v>
      </c>
      <c r="E47" s="19">
        <v>0.5</v>
      </c>
      <c r="F47" s="19">
        <v>1</v>
      </c>
      <c r="G47" s="19">
        <v>2</v>
      </c>
      <c r="H47" s="19">
        <f t="shared" si="7"/>
        <v>1.1000000000000001</v>
      </c>
      <c r="I47" s="19">
        <v>0.4</v>
      </c>
      <c r="J47" s="19">
        <f t="shared" si="2"/>
        <v>1.5</v>
      </c>
      <c r="K47" s="10" t="s">
        <v>69</v>
      </c>
      <c r="L47" s="23"/>
      <c r="M47" s="1">
        <f t="shared" si="3"/>
        <v>0</v>
      </c>
      <c r="N47" s="1">
        <f t="shared" si="4"/>
        <v>0</v>
      </c>
      <c r="O47" s="1">
        <f t="shared" si="5"/>
        <v>0</v>
      </c>
      <c r="P47" s="1">
        <f t="shared" si="6"/>
        <v>1.5</v>
      </c>
      <c r="Q47" s="1"/>
      <c r="R47" s="1"/>
      <c r="S47" s="1"/>
      <c r="T47" s="1"/>
      <c r="U47" s="1"/>
      <c r="V47" s="1"/>
      <c r="W47" s="1"/>
      <c r="X47" s="1"/>
    </row>
    <row r="48" spans="1:24">
      <c r="A48" s="1"/>
      <c r="B48" s="9">
        <v>36</v>
      </c>
      <c r="C48" s="17" t="s">
        <v>100</v>
      </c>
      <c r="D48" s="10" t="s">
        <v>101</v>
      </c>
      <c r="E48" s="19">
        <v>3</v>
      </c>
      <c r="F48" s="19">
        <v>4</v>
      </c>
      <c r="G48" s="19">
        <v>6</v>
      </c>
      <c r="H48" s="19">
        <f t="shared" si="7"/>
        <v>4.2</v>
      </c>
      <c r="I48" s="19">
        <v>0.8</v>
      </c>
      <c r="J48" s="19">
        <f t="shared" si="2"/>
        <v>5</v>
      </c>
      <c r="K48" s="10" t="s">
        <v>69</v>
      </c>
      <c r="L48" s="23"/>
      <c r="M48" s="1">
        <f t="shared" si="3"/>
        <v>0</v>
      </c>
      <c r="N48" s="1">
        <f t="shared" si="4"/>
        <v>0</v>
      </c>
      <c r="O48" s="1">
        <f t="shared" si="5"/>
        <v>0</v>
      </c>
      <c r="P48" s="1">
        <f t="shared" si="6"/>
        <v>5</v>
      </c>
      <c r="Q48" s="1"/>
      <c r="R48" s="1"/>
      <c r="S48" s="1"/>
      <c r="T48" s="1"/>
      <c r="U48" s="1"/>
      <c r="V48" s="1"/>
      <c r="W48" s="1"/>
      <c r="X48" s="1"/>
    </row>
    <row r="49" spans="1:24">
      <c r="A49" s="1"/>
      <c r="B49" s="9">
        <v>37</v>
      </c>
      <c r="C49" s="17" t="s">
        <v>102</v>
      </c>
      <c r="D49" s="18" t="s">
        <v>103</v>
      </c>
      <c r="E49" s="19">
        <v>4</v>
      </c>
      <c r="F49" s="19">
        <v>6</v>
      </c>
      <c r="G49" s="19">
        <v>8</v>
      </c>
      <c r="H49" s="19">
        <f t="shared" si="7"/>
        <v>6</v>
      </c>
      <c r="I49" s="19">
        <v>1</v>
      </c>
      <c r="J49" s="19">
        <f t="shared" si="2"/>
        <v>7</v>
      </c>
      <c r="K49" s="10" t="s">
        <v>57</v>
      </c>
      <c r="L49" s="23"/>
      <c r="M49" s="1">
        <f t="shared" si="3"/>
        <v>0</v>
      </c>
      <c r="N49" s="1">
        <f t="shared" si="4"/>
        <v>0</v>
      </c>
      <c r="O49" s="1">
        <f t="shared" si="5"/>
        <v>7</v>
      </c>
      <c r="P49" s="1">
        <f t="shared" si="6"/>
        <v>0</v>
      </c>
      <c r="Q49" s="1"/>
      <c r="R49" s="1"/>
      <c r="S49" s="1"/>
      <c r="T49" s="1"/>
      <c r="U49" s="1"/>
      <c r="V49" s="1"/>
      <c r="W49" s="1"/>
      <c r="X49" s="1"/>
    </row>
    <row r="50" spans="1:24">
      <c r="A50" s="1"/>
      <c r="B50" s="9">
        <v>38</v>
      </c>
      <c r="C50" s="17" t="s">
        <v>104</v>
      </c>
      <c r="D50" s="10" t="s">
        <v>105</v>
      </c>
      <c r="E50" s="19">
        <v>3</v>
      </c>
      <c r="F50" s="19">
        <v>5</v>
      </c>
      <c r="G50" s="19">
        <v>7</v>
      </c>
      <c r="H50" s="19">
        <f t="shared" si="7"/>
        <v>5</v>
      </c>
      <c r="I50" s="19">
        <v>1</v>
      </c>
      <c r="J50" s="19">
        <f t="shared" si="2"/>
        <v>6</v>
      </c>
      <c r="K50" s="10" t="s">
        <v>69</v>
      </c>
      <c r="L50" s="23"/>
      <c r="M50" s="1">
        <f t="shared" si="3"/>
        <v>0</v>
      </c>
      <c r="N50" s="1">
        <f t="shared" si="4"/>
        <v>0</v>
      </c>
      <c r="O50" s="1">
        <f t="shared" si="5"/>
        <v>0</v>
      </c>
      <c r="P50" s="1">
        <f t="shared" si="6"/>
        <v>6</v>
      </c>
      <c r="Q50" s="1"/>
      <c r="R50" s="1"/>
      <c r="S50" s="1"/>
      <c r="T50" s="1"/>
      <c r="U50" s="1"/>
      <c r="V50" s="1"/>
      <c r="W50" s="1"/>
      <c r="X50" s="1"/>
    </row>
    <row r="51" spans="1:24">
      <c r="A51" s="1"/>
      <c r="B51" s="9">
        <v>39</v>
      </c>
      <c r="C51" s="17" t="s">
        <v>106</v>
      </c>
      <c r="D51" s="10" t="s">
        <v>107</v>
      </c>
      <c r="E51" s="19">
        <v>2</v>
      </c>
      <c r="F51" s="19">
        <v>3</v>
      </c>
      <c r="G51" s="19">
        <v>4</v>
      </c>
      <c r="H51" s="19">
        <f t="shared" si="7"/>
        <v>3</v>
      </c>
      <c r="I51" s="19">
        <v>1</v>
      </c>
      <c r="J51" s="19">
        <f t="shared" si="2"/>
        <v>4</v>
      </c>
      <c r="K51" s="10" t="s">
        <v>69</v>
      </c>
      <c r="L51" s="23"/>
      <c r="M51" s="1">
        <f t="shared" si="3"/>
        <v>0</v>
      </c>
      <c r="N51" s="1">
        <f t="shared" si="4"/>
        <v>0</v>
      </c>
      <c r="O51" s="1">
        <f t="shared" si="5"/>
        <v>0</v>
      </c>
      <c r="P51" s="1">
        <f t="shared" si="6"/>
        <v>4</v>
      </c>
      <c r="Q51" s="1"/>
      <c r="R51" s="1"/>
      <c r="S51" s="1"/>
      <c r="T51" s="1"/>
      <c r="U51" s="1"/>
      <c r="V51" s="1"/>
      <c r="W51" s="1"/>
      <c r="X51" s="1"/>
    </row>
    <row r="52" spans="1:24">
      <c r="A52" s="1"/>
      <c r="B52" s="9">
        <v>40</v>
      </c>
      <c r="C52" s="17" t="s">
        <v>108</v>
      </c>
      <c r="D52" s="10" t="s">
        <v>109</v>
      </c>
      <c r="E52" s="19">
        <v>2</v>
      </c>
      <c r="F52" s="19">
        <v>3</v>
      </c>
      <c r="G52" s="19">
        <v>5</v>
      </c>
      <c r="H52" s="19">
        <f t="shared" si="7"/>
        <v>3.2</v>
      </c>
      <c r="I52" s="19">
        <v>0.8</v>
      </c>
      <c r="J52" s="19">
        <f t="shared" si="2"/>
        <v>4</v>
      </c>
      <c r="K52" s="10" t="s">
        <v>57</v>
      </c>
      <c r="L52" s="23"/>
      <c r="M52" s="1">
        <f t="shared" si="3"/>
        <v>0</v>
      </c>
      <c r="N52" s="1">
        <f t="shared" si="4"/>
        <v>0</v>
      </c>
      <c r="O52" s="1">
        <f t="shared" si="5"/>
        <v>4</v>
      </c>
      <c r="P52" s="1">
        <f t="shared" si="6"/>
        <v>0</v>
      </c>
      <c r="Q52" s="1"/>
      <c r="R52" s="1"/>
      <c r="S52" s="1"/>
      <c r="T52" s="1"/>
      <c r="U52" s="1"/>
      <c r="V52" s="1"/>
      <c r="W52" s="1"/>
      <c r="X52" s="1"/>
    </row>
    <row r="53" spans="1:24">
      <c r="A53" s="1"/>
      <c r="B53" s="9">
        <v>41</v>
      </c>
      <c r="C53" s="17" t="s">
        <v>110</v>
      </c>
      <c r="D53" s="10" t="s">
        <v>111</v>
      </c>
      <c r="E53" s="19">
        <v>1</v>
      </c>
      <c r="F53" s="19">
        <v>2</v>
      </c>
      <c r="G53" s="19">
        <v>4</v>
      </c>
      <c r="H53" s="19">
        <f t="shared" si="7"/>
        <v>2.2000000000000002</v>
      </c>
      <c r="I53" s="19">
        <v>0.8</v>
      </c>
      <c r="J53" s="19">
        <f t="shared" si="2"/>
        <v>3</v>
      </c>
      <c r="K53" s="10" t="s">
        <v>69</v>
      </c>
      <c r="L53" s="23"/>
      <c r="M53" s="1">
        <f t="shared" si="3"/>
        <v>0</v>
      </c>
      <c r="N53" s="1">
        <f t="shared" si="4"/>
        <v>0</v>
      </c>
      <c r="O53" s="1">
        <f t="shared" si="5"/>
        <v>0</v>
      </c>
      <c r="P53" s="1">
        <f t="shared" si="6"/>
        <v>3</v>
      </c>
      <c r="Q53" s="1"/>
      <c r="R53" s="1"/>
      <c r="S53" s="1"/>
      <c r="T53" s="1"/>
      <c r="U53" s="1"/>
      <c r="V53" s="1"/>
      <c r="W53" s="1"/>
      <c r="X53" s="1"/>
    </row>
    <row r="54" spans="1:24">
      <c r="A54" s="1"/>
      <c r="B54" s="9">
        <v>42</v>
      </c>
      <c r="C54" s="16" t="s">
        <v>112</v>
      </c>
      <c r="D54" s="10" t="s">
        <v>113</v>
      </c>
      <c r="E54" s="19">
        <v>1</v>
      </c>
      <c r="F54" s="19">
        <v>2</v>
      </c>
      <c r="G54" s="19">
        <v>3</v>
      </c>
      <c r="H54" s="19">
        <f t="shared" si="7"/>
        <v>2</v>
      </c>
      <c r="I54" s="19">
        <v>0.5</v>
      </c>
      <c r="J54" s="19">
        <f t="shared" si="2"/>
        <v>2.5</v>
      </c>
      <c r="K54" s="10" t="s">
        <v>18</v>
      </c>
      <c r="L54" s="23"/>
      <c r="M54" s="1">
        <f t="shared" si="3"/>
        <v>0</v>
      </c>
      <c r="N54" s="1">
        <f t="shared" si="4"/>
        <v>2.5</v>
      </c>
      <c r="O54" s="1">
        <f t="shared" si="5"/>
        <v>0</v>
      </c>
      <c r="P54" s="1">
        <f t="shared" si="6"/>
        <v>0</v>
      </c>
      <c r="Q54" s="1"/>
      <c r="R54" s="1"/>
      <c r="S54" s="1"/>
      <c r="T54" s="1"/>
      <c r="U54" s="1"/>
      <c r="V54" s="1"/>
      <c r="W54" s="1"/>
      <c r="X54" s="1"/>
    </row>
    <row r="55" spans="1:24">
      <c r="A55" s="1"/>
      <c r="B55" s="9"/>
      <c r="C55" s="15" t="s">
        <v>114</v>
      </c>
      <c r="D55" s="10"/>
      <c r="E55" s="19"/>
      <c r="F55" s="19"/>
      <c r="G55" s="19"/>
      <c r="H55" s="19"/>
      <c r="I55" s="19"/>
      <c r="J55" s="19"/>
      <c r="K55" s="10"/>
      <c r="L55" s="23"/>
      <c r="M55" s="1">
        <f t="shared" si="3"/>
        <v>0</v>
      </c>
      <c r="N55" s="1">
        <f t="shared" si="4"/>
        <v>0</v>
      </c>
      <c r="O55" s="1">
        <f t="shared" si="5"/>
        <v>0</v>
      </c>
      <c r="P55" s="1">
        <f t="shared" si="6"/>
        <v>0</v>
      </c>
      <c r="Q55" s="1"/>
      <c r="R55" s="1"/>
      <c r="S55" s="1"/>
      <c r="T55" s="1"/>
      <c r="U55" s="1"/>
      <c r="V55" s="1"/>
      <c r="W55" s="1"/>
      <c r="X55" s="1"/>
    </row>
    <row r="56" spans="1:24">
      <c r="A56" s="1"/>
      <c r="B56" s="9"/>
      <c r="C56" s="16" t="s">
        <v>115</v>
      </c>
      <c r="D56" s="9"/>
      <c r="E56" s="19"/>
      <c r="F56" s="19"/>
      <c r="G56" s="19"/>
      <c r="H56" s="19"/>
      <c r="I56" s="19"/>
      <c r="J56" s="19"/>
      <c r="K56" s="10"/>
      <c r="L56" s="23"/>
      <c r="M56" s="1">
        <f t="shared" si="3"/>
        <v>0</v>
      </c>
      <c r="N56" s="1">
        <f t="shared" si="4"/>
        <v>0</v>
      </c>
      <c r="O56" s="1">
        <f t="shared" si="5"/>
        <v>0</v>
      </c>
      <c r="P56" s="1">
        <f t="shared" si="6"/>
        <v>0</v>
      </c>
      <c r="Q56" s="1"/>
      <c r="R56" s="1"/>
      <c r="S56" s="1"/>
      <c r="T56" s="1"/>
      <c r="U56" s="1"/>
      <c r="V56" s="1"/>
      <c r="W56" s="1"/>
      <c r="X56" s="1"/>
    </row>
    <row r="57" spans="1:24">
      <c r="A57" s="1"/>
      <c r="B57" s="9">
        <v>43</v>
      </c>
      <c r="C57" s="17" t="s">
        <v>116</v>
      </c>
      <c r="D57" s="10" t="s">
        <v>117</v>
      </c>
      <c r="E57" s="19">
        <v>2</v>
      </c>
      <c r="F57" s="19">
        <v>3</v>
      </c>
      <c r="G57" s="19">
        <v>5</v>
      </c>
      <c r="H57" s="19">
        <f t="shared" si="7"/>
        <v>3.2</v>
      </c>
      <c r="I57" s="19">
        <v>0.8</v>
      </c>
      <c r="J57" s="19">
        <f t="shared" si="2"/>
        <v>4</v>
      </c>
      <c r="K57" s="10" t="s">
        <v>69</v>
      </c>
      <c r="L57" s="23"/>
      <c r="M57" s="1">
        <f t="shared" si="3"/>
        <v>0</v>
      </c>
      <c r="N57" s="1">
        <f t="shared" si="4"/>
        <v>0</v>
      </c>
      <c r="O57" s="1">
        <f t="shared" si="5"/>
        <v>0</v>
      </c>
      <c r="P57" s="1">
        <f t="shared" si="6"/>
        <v>4</v>
      </c>
      <c r="Q57" s="1"/>
      <c r="R57" s="1"/>
      <c r="S57" s="1"/>
      <c r="T57" s="1"/>
      <c r="U57" s="1"/>
      <c r="V57" s="1"/>
      <c r="W57" s="1"/>
      <c r="X57" s="1"/>
    </row>
    <row r="58" spans="1:24">
      <c r="A58" s="1"/>
      <c r="B58" s="9">
        <v>44</v>
      </c>
      <c r="C58" s="17" t="s">
        <v>118</v>
      </c>
      <c r="D58" s="10" t="s">
        <v>119</v>
      </c>
      <c r="E58" s="19">
        <v>3</v>
      </c>
      <c r="F58" s="19">
        <v>5</v>
      </c>
      <c r="G58" s="19">
        <v>7</v>
      </c>
      <c r="H58" s="19">
        <f t="shared" si="7"/>
        <v>5</v>
      </c>
      <c r="I58" s="19">
        <v>1</v>
      </c>
      <c r="J58" s="19">
        <f t="shared" si="2"/>
        <v>6</v>
      </c>
      <c r="K58" s="10" t="s">
        <v>69</v>
      </c>
      <c r="L58" s="23"/>
      <c r="M58" s="1">
        <f t="shared" si="3"/>
        <v>0</v>
      </c>
      <c r="N58" s="1">
        <f t="shared" si="4"/>
        <v>0</v>
      </c>
      <c r="O58" s="1">
        <f t="shared" si="5"/>
        <v>0</v>
      </c>
      <c r="P58" s="1">
        <f t="shared" si="6"/>
        <v>6</v>
      </c>
      <c r="Q58" s="1"/>
      <c r="R58" s="1"/>
      <c r="S58" s="1"/>
      <c r="T58" s="1"/>
      <c r="U58" s="1"/>
      <c r="V58" s="1"/>
      <c r="W58" s="1"/>
      <c r="X58" s="1"/>
    </row>
    <row r="59" spans="1:24">
      <c r="A59" s="1"/>
      <c r="B59" s="9">
        <v>45</v>
      </c>
      <c r="C59" s="16" t="s">
        <v>120</v>
      </c>
      <c r="D59" s="10" t="s">
        <v>121</v>
      </c>
      <c r="E59" s="19">
        <v>2</v>
      </c>
      <c r="F59" s="19">
        <v>3</v>
      </c>
      <c r="G59" s="19">
        <v>4</v>
      </c>
      <c r="H59" s="19">
        <f t="shared" si="7"/>
        <v>3</v>
      </c>
      <c r="I59" s="19">
        <v>4</v>
      </c>
      <c r="J59" s="19">
        <f t="shared" si="2"/>
        <v>7</v>
      </c>
      <c r="K59" s="10" t="s">
        <v>122</v>
      </c>
      <c r="L59" s="23"/>
      <c r="M59" s="1">
        <f t="shared" si="3"/>
        <v>0</v>
      </c>
      <c r="N59" s="1">
        <f t="shared" si="4"/>
        <v>7</v>
      </c>
      <c r="O59" s="1">
        <f t="shared" si="5"/>
        <v>0</v>
      </c>
      <c r="P59" s="1">
        <f t="shared" si="6"/>
        <v>7</v>
      </c>
      <c r="Q59" s="1"/>
      <c r="R59" s="1"/>
      <c r="S59" s="1"/>
      <c r="T59" s="1"/>
      <c r="U59" s="1"/>
      <c r="V59" s="1"/>
      <c r="W59" s="1"/>
      <c r="X59" s="1"/>
    </row>
    <row r="60" spans="1:24">
      <c r="A60" s="1"/>
      <c r="B60" s="9">
        <v>46</v>
      </c>
      <c r="C60" s="16" t="s">
        <v>123</v>
      </c>
      <c r="D60" s="10" t="s">
        <v>124</v>
      </c>
      <c r="E60" s="19">
        <v>3</v>
      </c>
      <c r="F60" s="19">
        <v>5</v>
      </c>
      <c r="G60" s="19">
        <v>8</v>
      </c>
      <c r="H60" s="19">
        <f t="shared" si="7"/>
        <v>5.2</v>
      </c>
      <c r="I60" s="19">
        <v>1.3</v>
      </c>
      <c r="J60" s="19">
        <f t="shared" si="2"/>
        <v>6.5</v>
      </c>
      <c r="K60" s="10" t="s">
        <v>125</v>
      </c>
      <c r="L60" s="23"/>
      <c r="M60" s="1">
        <f t="shared" si="3"/>
        <v>0</v>
      </c>
      <c r="N60" s="1">
        <f t="shared" si="4"/>
        <v>0</v>
      </c>
      <c r="O60" s="1">
        <f t="shared" si="5"/>
        <v>6.5</v>
      </c>
      <c r="P60" s="1">
        <f t="shared" si="6"/>
        <v>6.5</v>
      </c>
      <c r="Q60" s="1"/>
      <c r="R60" s="1"/>
      <c r="S60" s="1"/>
      <c r="T60" s="1"/>
      <c r="U60" s="1"/>
      <c r="V60" s="1"/>
      <c r="W60" s="1"/>
      <c r="X60" s="1"/>
    </row>
    <row r="61" spans="1:24">
      <c r="A61" s="1"/>
      <c r="B61" s="9"/>
      <c r="C61" s="15" t="s">
        <v>126</v>
      </c>
      <c r="D61" s="10"/>
      <c r="E61" s="19"/>
      <c r="F61" s="19"/>
      <c r="G61" s="19"/>
      <c r="H61" s="19">
        <f t="shared" si="7"/>
        <v>0</v>
      </c>
      <c r="I61" s="19"/>
      <c r="J61" s="19"/>
      <c r="K61" s="10"/>
      <c r="L61" s="23"/>
      <c r="M61" s="1">
        <f t="shared" si="3"/>
        <v>0</v>
      </c>
      <c r="N61" s="1">
        <f t="shared" si="4"/>
        <v>0</v>
      </c>
      <c r="O61" s="1">
        <f t="shared" si="5"/>
        <v>0</v>
      </c>
      <c r="P61" s="1">
        <f t="shared" si="6"/>
        <v>0</v>
      </c>
      <c r="Q61" s="1"/>
      <c r="R61" s="1"/>
      <c r="S61" s="1"/>
      <c r="T61" s="1"/>
      <c r="U61" s="1"/>
      <c r="V61" s="1"/>
      <c r="W61" s="1"/>
      <c r="X61" s="1"/>
    </row>
    <row r="62" spans="1:24">
      <c r="A62" s="1"/>
      <c r="B62" s="9">
        <v>47</v>
      </c>
      <c r="C62" s="16" t="s">
        <v>127</v>
      </c>
      <c r="D62" s="10" t="s">
        <v>128</v>
      </c>
      <c r="E62" s="19">
        <v>1</v>
      </c>
      <c r="F62" s="19">
        <v>1</v>
      </c>
      <c r="G62" s="19">
        <v>2</v>
      </c>
      <c r="H62" s="19">
        <f t="shared" si="7"/>
        <v>1.2</v>
      </c>
      <c r="I62" s="19">
        <v>0.3</v>
      </c>
      <c r="J62" s="19">
        <f t="shared" si="2"/>
        <v>1.5</v>
      </c>
      <c r="K62" s="10" t="s">
        <v>57</v>
      </c>
      <c r="L62" s="23"/>
      <c r="M62" s="1">
        <f t="shared" si="3"/>
        <v>0</v>
      </c>
      <c r="N62" s="1">
        <f t="shared" si="4"/>
        <v>0</v>
      </c>
      <c r="O62" s="1">
        <f t="shared" si="5"/>
        <v>1.5</v>
      </c>
      <c r="P62" s="1">
        <f t="shared" si="6"/>
        <v>0</v>
      </c>
      <c r="Q62" s="1"/>
      <c r="R62" s="1"/>
      <c r="S62" s="1"/>
      <c r="T62" s="1"/>
      <c r="U62" s="1"/>
      <c r="V62" s="1"/>
      <c r="W62" s="1"/>
      <c r="X62" s="1"/>
    </row>
    <row r="63" spans="1:24">
      <c r="A63" s="1"/>
      <c r="B63" s="9">
        <v>48</v>
      </c>
      <c r="C63" s="16" t="s">
        <v>129</v>
      </c>
      <c r="D63" s="10" t="s">
        <v>130</v>
      </c>
      <c r="E63" s="19">
        <v>1</v>
      </c>
      <c r="F63" s="19">
        <v>2</v>
      </c>
      <c r="G63" s="19">
        <v>3</v>
      </c>
      <c r="H63" s="19">
        <f t="shared" si="7"/>
        <v>2</v>
      </c>
      <c r="I63" s="19">
        <v>0.5</v>
      </c>
      <c r="J63" s="19">
        <f t="shared" si="2"/>
        <v>2.5</v>
      </c>
      <c r="K63" s="10" t="s">
        <v>57</v>
      </c>
      <c r="L63" s="23"/>
      <c r="M63" s="1">
        <f t="shared" si="3"/>
        <v>0</v>
      </c>
      <c r="N63" s="1">
        <f t="shared" si="4"/>
        <v>0</v>
      </c>
      <c r="O63" s="1">
        <f t="shared" si="5"/>
        <v>2.5</v>
      </c>
      <c r="P63" s="1">
        <f t="shared" si="6"/>
        <v>0</v>
      </c>
      <c r="Q63" s="1"/>
      <c r="R63" s="1"/>
      <c r="S63" s="1"/>
      <c r="T63" s="1"/>
      <c r="U63" s="1"/>
      <c r="V63" s="1"/>
      <c r="W63" s="1"/>
      <c r="X63" s="1"/>
    </row>
    <row r="64" spans="1:24">
      <c r="A64" s="1"/>
      <c r="B64" s="9">
        <v>49</v>
      </c>
      <c r="C64" s="16" t="s">
        <v>131</v>
      </c>
      <c r="D64" s="18" t="s">
        <v>132</v>
      </c>
      <c r="E64" s="19">
        <v>1</v>
      </c>
      <c r="F64" s="19">
        <v>2</v>
      </c>
      <c r="G64" s="19">
        <v>3</v>
      </c>
      <c r="H64" s="19">
        <f t="shared" si="7"/>
        <v>2</v>
      </c>
      <c r="I64" s="19">
        <v>0.5</v>
      </c>
      <c r="J64" s="19">
        <f t="shared" si="2"/>
        <v>2.5</v>
      </c>
      <c r="K64" s="10" t="s">
        <v>25</v>
      </c>
      <c r="L64" s="23"/>
      <c r="M64" s="1">
        <f t="shared" si="3"/>
        <v>2.5</v>
      </c>
      <c r="N64" s="1">
        <f t="shared" si="4"/>
        <v>0</v>
      </c>
      <c r="O64" s="1">
        <f t="shared" si="5"/>
        <v>0</v>
      </c>
      <c r="P64" s="1">
        <f t="shared" si="6"/>
        <v>0</v>
      </c>
      <c r="Q64" s="1"/>
      <c r="R64" s="1"/>
      <c r="S64" s="1"/>
      <c r="T64" s="1"/>
      <c r="U64" s="1"/>
      <c r="V64" s="1"/>
      <c r="W64" s="1"/>
      <c r="X64" s="1"/>
    </row>
    <row r="65" spans="1:24">
      <c r="A65" s="1"/>
      <c r="B65" s="9">
        <v>50</v>
      </c>
      <c r="C65" s="16" t="s">
        <v>133</v>
      </c>
      <c r="D65" s="10" t="s">
        <v>134</v>
      </c>
      <c r="E65" s="19">
        <v>1</v>
      </c>
      <c r="F65" s="19">
        <v>2</v>
      </c>
      <c r="G65" s="19">
        <v>4</v>
      </c>
      <c r="H65" s="19">
        <f t="shared" si="7"/>
        <v>2.2000000000000002</v>
      </c>
      <c r="I65" s="19">
        <v>0.8</v>
      </c>
      <c r="J65" s="19">
        <f t="shared" si="2"/>
        <v>3</v>
      </c>
      <c r="K65" s="10" t="s">
        <v>18</v>
      </c>
      <c r="L65" s="23"/>
      <c r="M65" s="1">
        <f t="shared" si="3"/>
        <v>0</v>
      </c>
      <c r="N65" s="1">
        <f t="shared" si="4"/>
        <v>3</v>
      </c>
      <c r="O65" s="1">
        <f t="shared" si="5"/>
        <v>0</v>
      </c>
      <c r="P65" s="1">
        <f t="shared" si="6"/>
        <v>0</v>
      </c>
      <c r="Q65" s="1"/>
      <c r="R65" s="1"/>
      <c r="S65" s="1"/>
      <c r="T65" s="1"/>
      <c r="U65" s="1"/>
      <c r="V65" s="1"/>
      <c r="W65" s="1"/>
      <c r="X65" s="1"/>
    </row>
    <row r="66" spans="1:24">
      <c r="A66" s="1"/>
      <c r="B66" s="9">
        <v>51</v>
      </c>
      <c r="C66" s="15" t="s">
        <v>135</v>
      </c>
      <c r="D66" s="9" t="s">
        <v>136</v>
      </c>
      <c r="E66" s="19">
        <v>3</v>
      </c>
      <c r="F66" s="19">
        <v>5</v>
      </c>
      <c r="G66" s="19">
        <v>7</v>
      </c>
      <c r="H66" s="19">
        <f t="shared" si="7"/>
        <v>5</v>
      </c>
      <c r="I66" s="19">
        <v>1</v>
      </c>
      <c r="J66" s="19">
        <f t="shared" si="2"/>
        <v>6</v>
      </c>
      <c r="K66" s="10" t="s">
        <v>125</v>
      </c>
      <c r="L66" s="23"/>
      <c r="M66" s="1">
        <f t="shared" si="3"/>
        <v>0</v>
      </c>
      <c r="N66" s="1">
        <f t="shared" si="4"/>
        <v>0</v>
      </c>
      <c r="O66" s="1">
        <f t="shared" si="5"/>
        <v>6</v>
      </c>
      <c r="P66" s="1">
        <f t="shared" si="6"/>
        <v>6</v>
      </c>
      <c r="Q66" s="1"/>
      <c r="R66" s="1"/>
      <c r="S66" s="1"/>
      <c r="T66" s="1"/>
      <c r="U66" s="1"/>
      <c r="V66" s="1"/>
      <c r="W66" s="1"/>
      <c r="X66" s="1"/>
    </row>
    <row r="67" spans="1:24">
      <c r="A67" s="1"/>
      <c r="B67" s="1"/>
      <c r="C67" s="1"/>
      <c r="D67" s="1"/>
      <c r="E67" s="1"/>
      <c r="F67" s="1"/>
      <c r="G67" s="1"/>
      <c r="H67" s="1"/>
      <c r="I67" s="1"/>
      <c r="J67" s="12"/>
      <c r="K67" s="1"/>
      <c r="L67" s="1"/>
      <c r="M67" s="1"/>
      <c r="N67" s="1"/>
      <c r="O67" s="1"/>
      <c r="P67" s="1"/>
      <c r="Q67" s="1"/>
      <c r="R67" s="1"/>
      <c r="S67" s="1"/>
      <c r="T67" s="1"/>
      <c r="U67" s="1"/>
      <c r="V67" s="1"/>
      <c r="W67" s="1"/>
      <c r="X67" s="1"/>
    </row>
  </sheetData>
  <mergeCells count="10">
    <mergeCell ref="B2:B3"/>
    <mergeCell ref="C2:C3"/>
    <mergeCell ref="D2:D3"/>
    <mergeCell ref="E2:E3"/>
    <mergeCell ref="F2:F3"/>
    <mergeCell ref="G2:G3"/>
    <mergeCell ref="H2:H3"/>
    <mergeCell ref="I2:I3"/>
    <mergeCell ref="J2:J3"/>
    <mergeCell ref="K2:K3"/>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96"/>
  <sheetViews>
    <sheetView topLeftCell="A26" workbookViewId="0">
      <selection activeCell="E39" sqref="E39"/>
    </sheetView>
  </sheetViews>
  <sheetFormatPr defaultColWidth="14.42578125" defaultRowHeight="15" customHeight="1"/>
  <cols>
    <col min="1" max="1" width="31" customWidth="1"/>
    <col min="2" max="4" width="28.5703125" customWidth="1"/>
    <col min="5" max="26" width="8" customWidth="1"/>
  </cols>
  <sheetData>
    <row r="1" spans="1:4" ht="17.25" customHeight="1">
      <c r="A1" s="2" t="s">
        <v>137</v>
      </c>
    </row>
    <row r="2" spans="1:4" ht="17.25" customHeight="1">
      <c r="A2" s="2" t="s">
        <v>138</v>
      </c>
    </row>
    <row r="3" spans="1:4" ht="17.25" customHeight="1">
      <c r="A3" s="3"/>
    </row>
    <row r="4" spans="1:4" ht="17.25" customHeight="1">
      <c r="A4" s="30" t="s">
        <v>139</v>
      </c>
    </row>
    <row r="5" spans="1:4" ht="18" customHeight="1">
      <c r="A5" s="31" t="s">
        <v>140</v>
      </c>
      <c r="B5" s="43"/>
      <c r="C5" s="43"/>
      <c r="D5" s="43"/>
    </row>
    <row r="6" spans="1:4" ht="18" customHeight="1">
      <c r="A6" s="31" t="s">
        <v>141</v>
      </c>
      <c r="B6" s="43"/>
      <c r="C6" s="43"/>
      <c r="D6" s="43"/>
    </row>
    <row r="7" spans="1:4" ht="18" customHeight="1">
      <c r="A7" s="31" t="s">
        <v>142</v>
      </c>
      <c r="B7" s="27"/>
      <c r="C7" s="27"/>
      <c r="D7" s="27"/>
    </row>
    <row r="8" spans="1:4" ht="18" customHeight="1">
      <c r="A8" s="32" t="s">
        <v>143</v>
      </c>
      <c r="B8" s="43"/>
      <c r="C8" s="43"/>
      <c r="D8" s="43"/>
    </row>
    <row r="9" spans="1:4" ht="18" customHeight="1">
      <c r="A9" s="31" t="s">
        <v>144</v>
      </c>
      <c r="B9" s="43"/>
      <c r="C9" s="43"/>
      <c r="D9" s="43"/>
    </row>
    <row r="10" spans="1:4" ht="18" customHeight="1">
      <c r="A10" s="31" t="s">
        <v>145</v>
      </c>
      <c r="B10" s="43"/>
      <c r="C10" s="43"/>
      <c r="D10" s="43"/>
    </row>
    <row r="11" spans="1:4" ht="18" customHeight="1">
      <c r="A11" s="31" t="s">
        <v>146</v>
      </c>
      <c r="B11" s="43"/>
      <c r="C11" s="43"/>
      <c r="D11" s="43"/>
    </row>
    <row r="12" spans="1:4" ht="18" customHeight="1">
      <c r="A12" s="33" t="s">
        <v>147</v>
      </c>
      <c r="B12" s="43"/>
      <c r="C12" s="43"/>
      <c r="D12" s="43"/>
    </row>
    <row r="13" spans="1:4" ht="36" customHeight="1">
      <c r="A13" s="33" t="s">
        <v>148</v>
      </c>
      <c r="B13" s="43"/>
      <c r="C13" s="43"/>
      <c r="D13" s="43"/>
    </row>
    <row r="14" spans="1:4" ht="18" customHeight="1">
      <c r="A14" s="33" t="s">
        <v>149</v>
      </c>
      <c r="B14" s="43"/>
      <c r="C14" s="43"/>
      <c r="D14" s="43"/>
    </row>
    <row r="15" spans="1:4" ht="18" customHeight="1">
      <c r="A15" s="33" t="s">
        <v>150</v>
      </c>
      <c r="B15" s="43"/>
      <c r="C15" s="43"/>
      <c r="D15" s="43"/>
    </row>
    <row r="16" spans="1:4" ht="18" customHeight="1">
      <c r="A16" s="27" t="s">
        <v>151</v>
      </c>
      <c r="B16" s="43"/>
      <c r="C16" s="43"/>
      <c r="D16" s="43"/>
    </row>
    <row r="17" spans="1:4" ht="35.25" customHeight="1">
      <c r="A17" s="27" t="s">
        <v>152</v>
      </c>
      <c r="B17" s="43"/>
      <c r="C17" s="43"/>
      <c r="D17" s="43"/>
    </row>
    <row r="18" spans="1:4" ht="17.25" customHeight="1">
      <c r="A18" s="28" t="s">
        <v>153</v>
      </c>
      <c r="B18" s="28" t="s">
        <v>154</v>
      </c>
      <c r="C18" s="5" t="s">
        <v>155</v>
      </c>
      <c r="D18" s="5" t="s">
        <v>156</v>
      </c>
    </row>
    <row r="19" spans="1:4" ht="17.25" customHeight="1">
      <c r="A19" s="44"/>
      <c r="B19" s="44"/>
      <c r="C19" s="24" t="s">
        <v>157</v>
      </c>
      <c r="D19" s="24" t="s">
        <v>158</v>
      </c>
    </row>
    <row r="20" spans="1:4" ht="71.25" customHeight="1">
      <c r="A20" s="7" t="s">
        <v>159</v>
      </c>
      <c r="B20" s="7" t="s">
        <v>160</v>
      </c>
      <c r="C20" s="7" t="s">
        <v>161</v>
      </c>
      <c r="D20" s="34"/>
    </row>
    <row r="21" spans="1:4" ht="47.25" customHeight="1">
      <c r="A21" s="7" t="s">
        <v>162</v>
      </c>
      <c r="B21" s="7" t="s">
        <v>163</v>
      </c>
      <c r="C21" s="7" t="s">
        <v>164</v>
      </c>
      <c r="D21" s="7"/>
    </row>
    <row r="22" spans="1:4" ht="37.5" customHeight="1">
      <c r="A22" s="35" t="s">
        <v>165</v>
      </c>
      <c r="B22" s="35" t="s">
        <v>166</v>
      </c>
      <c r="C22" s="35" t="s">
        <v>167</v>
      </c>
      <c r="D22" s="36" t="s">
        <v>168</v>
      </c>
    </row>
    <row r="23" spans="1:4" ht="18.75" customHeight="1">
      <c r="A23" s="45"/>
      <c r="B23" s="45"/>
      <c r="C23" s="45"/>
      <c r="D23" s="46"/>
    </row>
    <row r="24" spans="1:4" ht="19.5">
      <c r="A24" s="7" t="s">
        <v>169</v>
      </c>
      <c r="B24" s="7" t="s">
        <v>18</v>
      </c>
      <c r="C24" s="7" t="s">
        <v>170</v>
      </c>
      <c r="D24" s="34"/>
    </row>
    <row r="25" spans="1:4" ht="18.75">
      <c r="A25" s="38" t="s">
        <v>171</v>
      </c>
      <c r="B25" s="38" t="s">
        <v>172</v>
      </c>
      <c r="C25" s="38" t="s">
        <v>173</v>
      </c>
      <c r="D25" s="37"/>
    </row>
    <row r="26" spans="1:4" ht="18.75">
      <c r="A26" s="38" t="s">
        <v>174</v>
      </c>
      <c r="B26" s="38" t="s">
        <v>69</v>
      </c>
      <c r="C26" s="38" t="s">
        <v>175</v>
      </c>
      <c r="D26" s="37"/>
    </row>
    <row r="27" spans="1:4" ht="17.25" customHeight="1">
      <c r="A27" s="4"/>
    </row>
    <row r="28" spans="1:4" ht="17.25" customHeight="1">
      <c r="A28" s="4" t="s">
        <v>176</v>
      </c>
    </row>
    <row r="29" spans="1:4" ht="17.25" customHeight="1">
      <c r="A29" s="29" t="s">
        <v>177</v>
      </c>
      <c r="B29" s="43"/>
      <c r="C29" s="43"/>
      <c r="D29" s="43"/>
    </row>
    <row r="30" spans="1:4" ht="18" customHeight="1">
      <c r="A30" s="6" t="s">
        <v>178</v>
      </c>
    </row>
    <row r="31" spans="1:4" ht="18" customHeight="1">
      <c r="A31" s="7" t="s">
        <v>179</v>
      </c>
      <c r="B31" s="39" t="s">
        <v>180</v>
      </c>
      <c r="C31" s="40"/>
      <c r="D31" s="41"/>
    </row>
    <row r="32" spans="1:4" ht="18" customHeight="1">
      <c r="A32" s="7" t="s">
        <v>181</v>
      </c>
      <c r="B32" s="39" t="s">
        <v>182</v>
      </c>
      <c r="C32" s="40"/>
      <c r="D32" s="41"/>
    </row>
    <row r="33" spans="1:4" ht="18" customHeight="1">
      <c r="A33" s="7" t="s">
        <v>183</v>
      </c>
      <c r="B33" s="39" t="s">
        <v>184</v>
      </c>
      <c r="C33" s="40"/>
      <c r="D33" s="41"/>
    </row>
    <row r="34" spans="1:4" ht="18" customHeight="1">
      <c r="A34" s="7" t="s">
        <v>185</v>
      </c>
      <c r="B34" s="39" t="s">
        <v>186</v>
      </c>
      <c r="C34" s="40"/>
      <c r="D34" s="41"/>
    </row>
    <row r="35" spans="1:4" ht="18" customHeight="1">
      <c r="A35" s="7" t="s">
        <v>187</v>
      </c>
      <c r="B35" s="39" t="s">
        <v>166</v>
      </c>
      <c r="C35" s="40"/>
      <c r="D35" s="41"/>
    </row>
    <row r="36" spans="1:4" ht="18" customHeight="1">
      <c r="A36" s="7" t="s">
        <v>188</v>
      </c>
      <c r="B36" s="39" t="s">
        <v>172</v>
      </c>
      <c r="C36" s="40"/>
      <c r="D36" s="41"/>
    </row>
    <row r="37" spans="1:4" ht="18" customHeight="1">
      <c r="A37" s="7" t="s">
        <v>189</v>
      </c>
      <c r="B37" s="39" t="s">
        <v>190</v>
      </c>
      <c r="C37" s="40"/>
      <c r="D37" s="41"/>
    </row>
    <row r="38" spans="1:4" ht="18" customHeight="1">
      <c r="A38" s="7" t="s">
        <v>191</v>
      </c>
      <c r="B38" s="39" t="s">
        <v>192</v>
      </c>
      <c r="C38" s="40"/>
      <c r="D38" s="41"/>
    </row>
    <row r="39" spans="1:4" ht="18" customHeight="1">
      <c r="A39" s="8"/>
    </row>
    <row r="40" spans="1:4" ht="17.25" customHeight="1">
      <c r="C40" s="4" t="s">
        <v>187</v>
      </c>
    </row>
    <row r="41" spans="1:4" ht="36" customHeight="1">
      <c r="C41" s="8" t="s">
        <v>193</v>
      </c>
    </row>
    <row r="42" spans="1:4" ht="14.25" customHeight="1"/>
    <row r="43" spans="1:4" ht="17.25" customHeight="1">
      <c r="A43" s="2"/>
    </row>
    <row r="44" spans="1:4" ht="14.25" customHeight="1"/>
    <row r="45" spans="1:4" ht="14.25" customHeight="1"/>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28">
    <mergeCell ref="B36:D36"/>
    <mergeCell ref="B37:D37"/>
    <mergeCell ref="B38:D38"/>
    <mergeCell ref="A29:D29"/>
    <mergeCell ref="B31:D31"/>
    <mergeCell ref="D22:D23"/>
    <mergeCell ref="B32:D32"/>
    <mergeCell ref="B33:D33"/>
    <mergeCell ref="B34:D34"/>
    <mergeCell ref="B35:D35"/>
    <mergeCell ref="A22:A23"/>
    <mergeCell ref="B22:B23"/>
    <mergeCell ref="C22:C23"/>
    <mergeCell ref="A15:D15"/>
    <mergeCell ref="A16:D16"/>
    <mergeCell ref="A17:D17"/>
    <mergeCell ref="A18:A19"/>
    <mergeCell ref="B18:B19"/>
    <mergeCell ref="A10:D10"/>
    <mergeCell ref="A11:D11"/>
    <mergeCell ref="A12:D12"/>
    <mergeCell ref="A13:D13"/>
    <mergeCell ref="A14:D14"/>
    <mergeCell ref="A5:D5"/>
    <mergeCell ref="A6:D6"/>
    <mergeCell ref="A7:D7"/>
    <mergeCell ref="A8:D8"/>
    <mergeCell ref="A9:D9"/>
  </mergeCells>
  <hyperlinks>
    <hyperlink ref="D22" r:id="rId1" xr:uid="{00000000-0004-0000-0100-000001000000}"/>
    <hyperlink ref="D22:D23" r:id="rId2" display="duy.dd2490037@sis.hust.edu.vn " xr:uid="{153B188D-E9E5-4A24-9169-12E031FE3664}"/>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Props1.xml><?xml version="1.0" encoding="utf-8"?>
<ds:datastoreItem xmlns:ds="http://schemas.openxmlformats.org/officeDocument/2006/customXml" ds:itemID="{A0227FA7-5D8E-4B7B-9F55-D79F3A45713F}"/>
</file>

<file path=customXml/itemProps2.xml><?xml version="1.0" encoding="utf-8"?>
<ds:datastoreItem xmlns:ds="http://schemas.openxmlformats.org/officeDocument/2006/customXml" ds:itemID="{001DACE1-CD45-4EAB-9D6A-6EF598C931CD}"/>
</file>

<file path=customXml/itemProps3.xml><?xml version="1.0" encoding="utf-8"?>
<ds:datastoreItem xmlns:ds="http://schemas.openxmlformats.org/officeDocument/2006/customXml" ds:itemID="{2C47F37B-A857-41BF-9F9A-F28FB57E3C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MINHNHAT</dc:creator>
  <cp:keywords/>
  <dc:description/>
  <cp:lastModifiedBy>Duong Duc Duy 202490037</cp:lastModifiedBy>
  <cp:revision/>
  <dcterms:created xsi:type="dcterms:W3CDTF">2010-07-15T23:19:21Z</dcterms:created>
  <dcterms:modified xsi:type="dcterms:W3CDTF">2026-09-18T16:07:45Z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