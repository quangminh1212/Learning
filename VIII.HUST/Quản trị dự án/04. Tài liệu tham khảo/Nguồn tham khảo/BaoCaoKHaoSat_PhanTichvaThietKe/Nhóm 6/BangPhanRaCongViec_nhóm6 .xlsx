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11_23A2BADB6B84B8B28254A9016B5709535F5A1264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WBS_PhanRaCTCongViec" sheetId="1" r:id="rId1"/>
    <sheet name="TonChiDA" sheetId="2" r:id="rId2"/>
  </sheets>
  <definedNames>
    <definedName name="_Toc403047573" localSheetId="1">TonChiDA!$A$4</definedName>
    <definedName name="_Toc403047574" localSheetId="1">TonChiDA!$A$32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0" i="1" l="1"/>
  <c r="J70" i="1" s="1"/>
  <c r="H69" i="1"/>
  <c r="J69" i="1" s="1"/>
  <c r="H68" i="1"/>
  <c r="J68" i="1" s="1"/>
  <c r="H67" i="1"/>
  <c r="J67" i="1" s="1"/>
  <c r="H66" i="1"/>
  <c r="J66" i="1" s="1"/>
  <c r="H64" i="1"/>
  <c r="J64" i="1" s="1"/>
  <c r="H63" i="1"/>
  <c r="J63" i="1" s="1"/>
  <c r="H62" i="1"/>
  <c r="J62" i="1" s="1"/>
  <c r="H61" i="1"/>
  <c r="J61" i="1" s="1"/>
  <c r="H58" i="1"/>
  <c r="J58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H51" i="1"/>
  <c r="J51" i="1" s="1"/>
  <c r="H49" i="1"/>
  <c r="J49" i="1" s="1"/>
  <c r="H48" i="1"/>
  <c r="J48" i="1" s="1"/>
  <c r="H47" i="1"/>
  <c r="J47" i="1" s="1"/>
  <c r="H46" i="1"/>
  <c r="J46" i="1" s="1"/>
  <c r="H44" i="1"/>
  <c r="J44" i="1" s="1"/>
  <c r="H43" i="1"/>
  <c r="J43" i="1" s="1"/>
  <c r="H42" i="1"/>
  <c r="J42" i="1" s="1"/>
  <c r="H41" i="1"/>
  <c r="J41" i="1" s="1"/>
  <c r="H39" i="1"/>
  <c r="J39" i="1" s="1"/>
  <c r="H38" i="1"/>
  <c r="J38" i="1" s="1"/>
  <c r="H37" i="1"/>
  <c r="J37" i="1" s="1"/>
  <c r="H36" i="1"/>
  <c r="J36" i="1" s="1"/>
  <c r="H35" i="1"/>
  <c r="J35" i="1" s="1"/>
  <c r="H34" i="1"/>
  <c r="J34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5" i="1"/>
  <c r="J25" i="1" s="1"/>
  <c r="H24" i="1"/>
  <c r="J24" i="1" s="1"/>
  <c r="H23" i="1"/>
  <c r="J23" i="1" s="1"/>
  <c r="H22" i="1"/>
  <c r="J22" i="1" s="1"/>
  <c r="H21" i="1"/>
  <c r="J21" i="1" s="1"/>
  <c r="H20" i="1"/>
  <c r="J20" i="1" s="1"/>
  <c r="H19" i="1"/>
  <c r="J19" i="1" s="1"/>
  <c r="H17" i="1"/>
  <c r="J17" i="1" s="1"/>
  <c r="H16" i="1"/>
  <c r="J16" i="1" s="1"/>
  <c r="H15" i="1"/>
  <c r="J15" i="1" s="1"/>
  <c r="H13" i="1"/>
  <c r="J13" i="1" s="1"/>
  <c r="H12" i="1"/>
  <c r="J12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J72" i="1" s="1"/>
  <c r="H4" i="1"/>
</calcChain>
</file>

<file path=xl/sharedStrings.xml><?xml version="1.0" encoding="utf-8"?>
<sst xmlns="http://schemas.openxmlformats.org/spreadsheetml/2006/main" count="247" uniqueCount="191">
  <si>
    <t>STT</t>
  </si>
  <si>
    <t>Tên công việc</t>
  </si>
  <si>
    <t>Mô tả</t>
  </si>
  <si>
    <t>MO</t>
  </si>
  <si>
    <t>ML</t>
  </si>
  <si>
    <t>MP</t>
  </si>
  <si>
    <t>EST</t>
  </si>
  <si>
    <t>Tăng thêm</t>
  </si>
  <si>
    <t>EST chốt</t>
  </si>
  <si>
    <t>Người thực hiện</t>
  </si>
  <si>
    <t>Khảo sát yêu cầu</t>
  </si>
  <si>
    <t>Khảo sát hiện trạng</t>
  </si>
  <si>
    <t>Khảo sát quy mô cửa hàng, số lượng sản phẩm, số lượng khách hàng và quy trình bán hàng hiện tại.</t>
  </si>
  <si>
    <t>Nguyễn Thế Dũng</t>
  </si>
  <si>
    <t>Hợp nhất hiện trạng</t>
  </si>
  <si>
    <t>Tổng hợp và hợp nhất các kết luận sau khi khảo sát.</t>
  </si>
  <si>
    <t>Phân tích hiện trạng</t>
  </si>
  <si>
    <t>Thảo luận, phân tích và đưa ra được các yêu cầu cho dự án.</t>
  </si>
  <si>
    <t>Trần Đình Hảo</t>
  </si>
  <si>
    <t>Đưa ra báo cáo đặc tả yêu cầu</t>
  </si>
  <si>
    <t>Triển khai các yêu cầu thành tài liệu đặc tả yêu cầu (SRS) để báo cáo khách hàng.</t>
  </si>
  <si>
    <t>Trịnh Kim Nam</t>
  </si>
  <si>
    <t>Mời khách hàng tham vấn</t>
  </si>
  <si>
    <t>Khảo sát ý kiến khách hàng, tìm ra thiếu sót và đáp ứng triệt để yêu cầu.</t>
  </si>
  <si>
    <t>Chỉnh sửa lại yêu cầu phần mềm</t>
  </si>
  <si>
    <t>Chỉnh sửa lại theo các ý kiến khách hàng góp ý khi tham vấn.</t>
  </si>
  <si>
    <t>Phân tích thiết kế hệ thống</t>
  </si>
  <si>
    <t>Xác định ma trận yêu cầu</t>
  </si>
  <si>
    <t>Lập bảng xác định các công việc và người thực hiện công việc đó (RTM).</t>
  </si>
  <si>
    <t>Thiết kế kiến trúc hệ thống</t>
  </si>
  <si>
    <t>Đưa ra cái nhìn tổng quan về triển khai hạ tầng, kiến trúc 3 lớp cho website.</t>
  </si>
  <si>
    <t>Thiết kế biểu đồ UC của hệ thống</t>
  </si>
  <si>
    <t>Xác định và phân tích Actor của hệ thống</t>
  </si>
  <si>
    <t>Xác định tác nhân tham gia hệ thống (Khách hàng, Quản trị viên, Cổng thanh toán).</t>
  </si>
  <si>
    <t>Trần Đức Khánh</t>
  </si>
  <si>
    <t>Xác định và phân tích các Use Case</t>
  </si>
  <si>
    <t>Xác định những chức năng mà hệ thống cần thực hiện.</t>
  </si>
  <si>
    <t>Vẽ biểu đồ Use Case tổng quát</t>
  </si>
  <si>
    <t>Xác định chức năng của hệ thống và mối quan hệ một cách tổng quát.</t>
  </si>
  <si>
    <t>Đặc tả User Case</t>
  </si>
  <si>
    <t>Use Case Đăng ký/Đăng nhập</t>
  </si>
  <si>
    <t>Minh họa mối quan hệ các yếu tố của chức năng đăng ký/đăng nhập.</t>
  </si>
  <si>
    <t>Use Case Tìm kiếm &amp; lọc sản phẩm</t>
  </si>
  <si>
    <t>Minh họa mối quan hệ các yếu tố của chức năng tìm kiếm/lọc theo cấu hình.</t>
  </si>
  <si>
    <t>Use Case Giỏ hàng &amp; Đặt hàng</t>
  </si>
  <si>
    <t>Minh họa mối quan hệ các yếu tố của chức năng giỏ hàng và đặt hàng.</t>
  </si>
  <si>
    <t>Use Case Thanh toán trực tuyến</t>
  </si>
  <si>
    <t>Minh họa mối quan hệ các yếu tố của chức năng thanh toán qua cổng thanh toán.</t>
  </si>
  <si>
    <t>Use Case Quản lý sản phẩm &amp; kho (Admin)</t>
  </si>
  <si>
    <t>Minh họa mối quan hệ các yếu tố của chức năng quản lý sản phẩm và tồn kho.</t>
  </si>
  <si>
    <t>Use Case Báo cáo doanh thu (Admin)</t>
  </si>
  <si>
    <t>Minh họa mối quan hệ các yếu tố của chức năng báo cáo và thống kê doanh thu.</t>
  </si>
  <si>
    <t>Xác định biểu đồ lớp</t>
  </si>
  <si>
    <t>Xây dựng mô hình lớp gồm thuộc tính, hành động và mối quan hệ của các lớp nghiệp vụ.</t>
  </si>
  <si>
    <t>Xác định biểu đồ tuần tự</t>
  </si>
  <si>
    <t>Biểu đồ tuần tự Đăng ký/Đăng nhập</t>
  </si>
  <si>
    <t>Xây dựng trình tự các bước khi đăng ký/đăng nhập.</t>
  </si>
  <si>
    <t>Biểu đồ tuần tự Tìm kiếm &amp; lọc sản phẩm</t>
  </si>
  <si>
    <t>Xây dựng trình tự các bước khi tìm kiếm/lọc sản phẩm.</t>
  </si>
  <si>
    <t>Biểu đồ tuần tự Giỏ hàng &amp; Đặt hàng</t>
  </si>
  <si>
    <t>Xây dựng trình tự các bước khi thêm giỏ hàng và đặt hàng.</t>
  </si>
  <si>
    <t>Biểu đồ tuần tự Thanh toán trực tuyến</t>
  </si>
  <si>
    <t>Xây dựng trình tự các bước khi thanh toán qua cổng thanh toán.</t>
  </si>
  <si>
    <t>Biểu đồ tuần tự Quản lý sản phẩm &amp; kho</t>
  </si>
  <si>
    <t>Xây dựng trình tự các bước khi quản lý sản phẩm/tồn kho.</t>
  </si>
  <si>
    <t>Biểu đồ tuần tự Báo cáo doanh thu</t>
  </si>
  <si>
    <t>Xây dựng trình tự các bước khi xuất báo cáo doanh thu.</t>
  </si>
  <si>
    <t>Xác định sơ đồ hoạt động</t>
  </si>
  <si>
    <t>Sơ đồ hoạt động Đăng ký/Đăng nhập</t>
  </si>
  <si>
    <t>Xây dựng các bước hoạt động cụ thể khi đăng ký/đăng nhập.</t>
  </si>
  <si>
    <t>Sơ đồ hoạt động Tìm kiếm &amp; lọc sản phẩm</t>
  </si>
  <si>
    <t>Xây dựng các bước hoạt động cụ thể khi tìm kiếm/lọc sản phẩm.</t>
  </si>
  <si>
    <t>Sơ đồ hoạt động Giỏ hàng &amp; Đặt hàng</t>
  </si>
  <si>
    <t>Xây dựng các bước hoạt động cụ thể khi đặt hàng.</t>
  </si>
  <si>
    <t>Sơ đồ hoạt động Thanh toán trực tuyến</t>
  </si>
  <si>
    <t>Xây dựng các bước hoạt động cụ thể khi thanh toán.</t>
  </si>
  <si>
    <t>Sơ đồ hoạt động Quản lý sản phẩm &amp; kho</t>
  </si>
  <si>
    <t>Xây dựng các bước hoạt động cụ thể khi quản lý sản phẩm/kho.</t>
  </si>
  <si>
    <t>Sơ đồ hoạt động Báo cáo doanh thu</t>
  </si>
  <si>
    <t>Xây dựng các bước hoạt động cụ thể khi báo cáo doanh thu.</t>
  </si>
  <si>
    <t>Thiết kế giao diện</t>
  </si>
  <si>
    <t>Thiết kế giao diện phần Người dùng</t>
  </si>
  <si>
    <t>Thiết kế giao diện Trang chủ, Trang sản phẩm, Giỏ hàng, Thanh toán, Đăng ký/Đăng nhập.</t>
  </si>
  <si>
    <t>Võ Hoàng Dương</t>
  </si>
  <si>
    <t>Thiết kế giao diện phần Quản trị</t>
  </si>
  <si>
    <t>Thiết kế giao diện Quản lý sản phẩm, Quản lý đơn hàng, Quản lý kho, Trang báo cáo.</t>
  </si>
  <si>
    <t>Mời khách hàng tham vấn giao diện</t>
  </si>
  <si>
    <t>Hỏi ý kiến cuối cùng của khách hàng về giao diện chương trình.</t>
  </si>
  <si>
    <t>Chỉnh sửa theo yêu cầu</t>
  </si>
  <si>
    <t>Chỉnh sửa theo ý kiến khách hàng, cam kết để bảo đảm khi nghiệm thu.</t>
  </si>
  <si>
    <t>Xây dựng chương trình</t>
  </si>
  <si>
    <t>Thiết kế CSDL</t>
  </si>
  <si>
    <t>Xây dựng cơ sở dữ liệu cho dự án (sản phẩm, đơn hàng, khách hàng, kho).</t>
  </si>
  <si>
    <t>Xây dựng module tầng Data Access</t>
  </si>
  <si>
    <t>Xây dựng tầng giao tiếp trực tiếp với CSDL.</t>
  </si>
  <si>
    <t>Xây dựng module tầng Service/API</t>
  </si>
  <si>
    <t>Xây dựng tầng giao tiếp gián tiếp (API) giữa Front-end và Back-end.</t>
  </si>
  <si>
    <t>Trịnh Tuấn Linh</t>
  </si>
  <si>
    <t>Xây dựng các chức năng phần Quản trị</t>
  </si>
  <si>
    <t>Xây dựng các chức năng quản lý sản phẩm, đơn hàng, kho, báo cáo cho quản trị viên.</t>
  </si>
  <si>
    <t>Xây dựng chức năng phần người dùng</t>
  </si>
  <si>
    <t>Đăng ký/Đăng nhập</t>
  </si>
  <si>
    <t>Xây dựng chức năng đăng ký, đăng nhập cho người dùng và quản trị viên.</t>
  </si>
  <si>
    <t>Tìm kiếm &amp; lọc sản phẩm</t>
  </si>
  <si>
    <t>Xây dựng chức năng tìm kiếm và lọc sản phẩm theo cấu hình, giá, hãng.</t>
  </si>
  <si>
    <t>Giỏ hàng &amp; Đặt hàng</t>
  </si>
  <si>
    <t>Xây dựng chức năng giỏ hàng và quy trình đặt hàng.</t>
  </si>
  <si>
    <t>Thanh toán trực tuyến</t>
  </si>
  <si>
    <t>Tích hợp cổng thanh toán trực tuyến (COD, thẻ, ví điện tử).</t>
  </si>
  <si>
    <t>Quản lý tài khoản cá nhân</t>
  </si>
  <si>
    <t>Xây dựng chức năng xem/sửa thông tin tài khoản, lịch sử đơn hàng.</t>
  </si>
  <si>
    <t>Đánh giá &amp; bình luận sản phẩm</t>
  </si>
  <si>
    <t>Xây dựng chức năng đánh giá sao và bình luận cho sản phẩm.</t>
  </si>
  <si>
    <t>Xem lịch sử và trạng thái đơn hàng</t>
  </si>
  <si>
    <t>Xây dựng chức năng hiển thị lịch sử và trạng thái đơn hàng cho khách hàng.</t>
  </si>
  <si>
    <t>Viết hướng dẫn sử dụng</t>
  </si>
  <si>
    <t>Viết tài liệu hướng dẫn sử dụng chương trình.</t>
  </si>
  <si>
    <t>Kiểm thử chương trình</t>
  </si>
  <si>
    <t>Kiểm thử chức năng</t>
  </si>
  <si>
    <t>Kiểm thử các chức năng phần quản trị</t>
  </si>
  <si>
    <t>Tìm kiếm những thiếu sót và lỗi trong phần quản trị.</t>
  </si>
  <si>
    <t>Kiểm thử chức năng phần người dùng</t>
  </si>
  <si>
    <t>Kiểm tra lỗi các chức năng phần người dùng.</t>
  </si>
  <si>
    <t>Kiểm thử toàn cục</t>
  </si>
  <si>
    <t>Thử lỗi tổng quát toàn chương trình, kiểm thử hiệu năng.</t>
  </si>
  <si>
    <t>Sửa lỗi chương trình</t>
  </si>
  <si>
    <t>Sửa tất cả các lỗi đã được phát hiện.</t>
  </si>
  <si>
    <t>Triển khai hệ thống</t>
  </si>
  <si>
    <t>Triển khai môi trường thử nghiệm (staging)</t>
  </si>
  <si>
    <t>Triển khai ứng dụng lên môi trường thử nghiệm nội bộ.</t>
  </si>
  <si>
    <t>Triển khai chính thức (production)</t>
  </si>
  <si>
    <t>Triển khai ứng dụng lên môi trường vận hành chính thức.</t>
  </si>
  <si>
    <t>Báo cáo nghiệm thu chương trình</t>
  </si>
  <si>
    <t>Báo cáo nghiệm thu chương trình cho hội đồng/giáo viên hướng dẫn.</t>
  </si>
  <si>
    <t>Đào tạo nhân viên sử dụng chương trình</t>
  </si>
  <si>
    <t>Hướng dẫn sử dụng, đào tạo nhân viên cửa hàng vận hành hệ thống.</t>
  </si>
  <si>
    <t>Bảo trì hệ thống</t>
  </si>
  <si>
    <t>Cử nhân viên bảo dưỡng, bảo trì hệ thống sau khi vận hành (6 tháng đầu).</t>
  </si>
  <si>
    <t>Tổng cộng (giờ công ước lượng)</t>
  </si>
  <si>
    <t>PHẦN 2 : TÔN CHỈ DỰ ÁN</t>
  </si>
  <si>
    <t>Tôn chỉ dự án (Project Charter)</t>
  </si>
  <si>
    <t xml:space="preserve">1.    Mô tả dự án </t>
  </si>
  <si>
    <t>• Tên dự án : Website bán thiết bị máy tính trực tuyến</t>
  </si>
  <si>
    <t>• Ngày bắt đầu : 01/09/2026</t>
  </si>
  <si>
    <t>• Ngày kết thúc : 31/03/2027</t>
  </si>
  <si>
    <t>• Chủ đầu tư : Trường CNTT&amp;TT, Đại học Bách khoa Hà Nội (đề tài NCKH cấp trường)</t>
  </si>
  <si>
    <t>• Kinh phí : 1.000.000.000 đồng (Một tỷ đồng)</t>
  </si>
  <si>
    <t>• Giám đốc dự án : Võ Hoàng Dương (Chủ nhiệm đề tài)</t>
  </si>
  <si>
    <t xml:space="preserve"> • Mục tiêu dự án :  </t>
  </si>
  <si>
    <t>- Chức năng nghiệp vụ : Quản lý sản phẩm, đơn hàng, khách hàng, kho hàng; tìm kiếm/lọc sản phẩm theo cấu hình; giỏ hàng, đặt hàng, thanh toán trực tuyến; báo cáo doanh thu.</t>
  </si>
  <si>
    <t>-Yêu cầu kĩ thuật (Đáp ứng được tiêu chuẩn của một Website): Responsive đa thiết bị, tốc độ tải trang tốt, bảo mật thông tin khách hàng/thanh toán, có khả năng mở rộng (scalable).</t>
  </si>
  <si>
    <t>-Yêu cầu khác : Giao diện thân thiện, dễ sử dụng cho cả khách hàng và quản trị viên không chuyên về kỹ thuật.</t>
  </si>
  <si>
    <t>- Phạm vi của dự án : Xây dựng website bán thiết bị máy tính trực tuyến cho một cửa hàng quy mô vừa và nhỏ; không bao gồm hệ thống ERP toàn doanh nghiệp.</t>
  </si>
  <si>
    <t xml:space="preserve"> </t>
  </si>
  <si>
    <t>- Đối tượng sử dụng: Vai trò và trách nhiệm.</t>
  </si>
  <si>
    <t>Vai trò</t>
  </si>
  <si>
    <t>Họ tên</t>
  </si>
  <si>
    <t>Tổ chức/vị trí</t>
  </si>
  <si>
    <t xml:space="preserve">Liên hệ </t>
  </si>
  <si>
    <t>Organization/Position</t>
  </si>
  <si>
    <t>Contact Information</t>
  </si>
  <si>
    <t>Khách</t>
  </si>
  <si>
    <t>Nguyễn Văn Long</t>
  </si>
  <si>
    <t>Chủ cửa hàng thiết bị máy tính</t>
  </si>
  <si>
    <t>longnguyen@gmail.com</t>
  </si>
  <si>
    <t>hàng</t>
  </si>
  <si>
    <t>Người sử dụng</t>
  </si>
  <si>
    <t>Người truy cập và mua hàng trên website</t>
  </si>
  <si>
    <t>Giám đốc dự án</t>
  </si>
  <si>
    <t>Nhóm 6 - Đề tài CNTT20261_K69_01, Trường CNTT&amp;TT - ĐHBKHN</t>
  </si>
  <si>
    <t>duong.vh@sis.hust.edu.vn</t>
  </si>
  <si>
    <t>Trưởng nhóm</t>
  </si>
  <si>
    <t>linh.tt@sis.hust.edu.vn</t>
  </si>
  <si>
    <t>Ký tên</t>
  </si>
  <si>
    <t>2.    Công bố dự án</t>
  </si>
  <si>
    <t>Quyết định khởi công dự án phần mềm</t>
  </si>
  <si>
    <t>(Số ….. Ngày……..)</t>
  </si>
  <si>
    <t>Tên dự án</t>
  </si>
  <si>
    <t>Website bán thiết bị máy tính trực tuyến</t>
  </si>
  <si>
    <t>Mã số</t>
  </si>
  <si>
    <t>CNTT20261_K69_01</t>
  </si>
  <si>
    <t>Chủ đấu tư</t>
  </si>
  <si>
    <t>Trường CNTT&amp;TT, Đại học Bách khoa Hà Nội</t>
  </si>
  <si>
    <t>Thời gian</t>
  </si>
  <si>
    <t>09/2026 - 03/2027 (6 tháng)</t>
  </si>
  <si>
    <t>Quản trị viên</t>
  </si>
  <si>
    <t>Qui mô dự án</t>
  </si>
  <si>
    <t>6 thành viên; tổng kinh phí 1.000.000.000 đồng</t>
  </si>
  <si>
    <t>Mục tiêu và các yêu cầu</t>
  </si>
  <si>
    <t>Xây dựng hoàn chỉnh website bán thiết bị máy tính trực tuyến (giao diện khách hàng, quản trị sản phẩm/đơn hàng/kho, tích hợp thanh toán), đạt chuẩn bảo mật, hoàn thành đúng tiến độ 6 tháng.</t>
  </si>
  <si>
    <t xml:space="preserve">                                           (Ký và ghi rõ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</si>
</sst>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"/>
    </font>
    <font>
      <sz val="9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9"/>
      <color rgb="FFFF0000"/>
      <name val="Arial"/>
      <family val="2"/>
      <charset val="1"/>
    </font>
    <font>
      <sz val="9"/>
      <color rgb="FF0000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E36C09"/>
      <name val="Arial"/>
      <family val="2"/>
      <charset val="1"/>
    </font>
    <font>
      <b/>
      <sz val="9"/>
      <name val="Arial"/>
      <charset val="1"/>
    </font>
    <font>
      <b/>
      <sz val="14"/>
      <color rgb="FF000000"/>
      <name val="Times New Roman"/>
      <family val="1"/>
      <charset val="1"/>
    </font>
    <font>
      <sz val="14"/>
      <color theme="1"/>
      <name val="Arial"/>
      <family val="2"/>
      <charset val="1"/>
    </font>
    <font>
      <sz val="14"/>
      <color rgb="FF000000"/>
      <name val="Times New Roman"/>
      <family val="1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0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5" fillId="0" borderId="2" xfId="0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C0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hiemitnd@gmail.com" TargetMode="External"/><Relationship Id="rId2" Type="http://schemas.openxmlformats.org/officeDocument/2006/relationships/hyperlink" Target="mailto:tranthigiangcntt@gmail.com" TargetMode="External"/><Relationship Id="rId1" Type="http://schemas.openxmlformats.org/officeDocument/2006/relationships/hyperlink" Target="mailto:longnguy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zoomScaleNormal="100" workbookViewId="0">
      <selection activeCell="D9" sqref="D9"/>
    </sheetView>
  </sheetViews>
  <sheetFormatPr defaultColWidth="14.42578125" defaultRowHeight="15"/>
  <cols>
    <col min="1" max="1" width="3.85546875" customWidth="1"/>
    <col min="2" max="2" width="6.5703125" customWidth="1"/>
    <col min="3" max="3" width="39.140625" customWidth="1"/>
    <col min="4" max="4" width="56.140625" customWidth="1"/>
    <col min="5" max="5" width="5.7109375" customWidth="1"/>
    <col min="6" max="6" width="5.5703125" customWidth="1"/>
    <col min="7" max="10" width="9.140625" customWidth="1"/>
    <col min="11" max="11" width="17.7109375" customWidth="1"/>
    <col min="12" max="23" width="8" customWidth="1"/>
  </cols>
  <sheetData>
    <row r="1" spans="1:23" ht="11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2" customHeight="1">
      <c r="A2" s="3"/>
      <c r="B2" s="24" t="s">
        <v>0</v>
      </c>
      <c r="C2" s="24" t="s">
        <v>1</v>
      </c>
      <c r="D2" s="24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7" customHeight="1">
      <c r="A3" s="3"/>
      <c r="B3" s="24"/>
      <c r="C3" s="24"/>
      <c r="D3" s="24"/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2" customHeight="1">
      <c r="A4" s="3"/>
      <c r="B4" s="4"/>
      <c r="C4" s="5" t="s">
        <v>10</v>
      </c>
      <c r="D4" s="3"/>
      <c r="E4" s="3"/>
      <c r="F4" s="3"/>
      <c r="G4" s="3"/>
      <c r="H4" s="3">
        <f>ROUND((E4+4*F4+G4)/6,1)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1.25" customHeight="1">
      <c r="A5" s="3"/>
      <c r="B5" s="4">
        <v>1</v>
      </c>
      <c r="C5" s="6" t="s">
        <v>11</v>
      </c>
      <c r="D5" s="7" t="s">
        <v>12</v>
      </c>
      <c r="E5" s="3">
        <v>2</v>
      </c>
      <c r="F5" s="3">
        <v>3</v>
      </c>
      <c r="G5" s="3">
        <v>5</v>
      </c>
      <c r="H5" s="3">
        <f>ROUND((E5+4*F5+G5)/6,1)</f>
        <v>3.2</v>
      </c>
      <c r="I5" s="3">
        <v>0.1</v>
      </c>
      <c r="J5" s="3">
        <f>ROUND(H5+I5,1)</f>
        <v>3.3</v>
      </c>
      <c r="K5" s="3" t="s">
        <v>13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1.25" customHeight="1">
      <c r="A6" s="3"/>
      <c r="B6" s="4">
        <v>2</v>
      </c>
      <c r="C6" s="6" t="s">
        <v>14</v>
      </c>
      <c r="D6" s="7" t="s">
        <v>15</v>
      </c>
      <c r="E6" s="3">
        <v>1</v>
      </c>
      <c r="F6" s="3">
        <v>1.5</v>
      </c>
      <c r="G6" s="3">
        <v>2</v>
      </c>
      <c r="H6" s="3">
        <f>ROUND((E6+4*F6+G6)/6,1)</f>
        <v>1.5</v>
      </c>
      <c r="I6" s="3">
        <v>0.1</v>
      </c>
      <c r="J6" s="3">
        <f>ROUND(H6+I6,1)</f>
        <v>1.6</v>
      </c>
      <c r="K6" s="3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1.25" customHeight="1">
      <c r="A7" s="3"/>
      <c r="B7" s="4">
        <v>3</v>
      </c>
      <c r="C7" s="6" t="s">
        <v>16</v>
      </c>
      <c r="D7" s="7" t="s">
        <v>17</v>
      </c>
      <c r="E7" s="3">
        <v>1.5</v>
      </c>
      <c r="F7" s="3">
        <v>2</v>
      </c>
      <c r="G7" s="3">
        <v>3</v>
      </c>
      <c r="H7" s="3">
        <f>ROUND((E7+4*F7+G7)/6,1)</f>
        <v>2.1</v>
      </c>
      <c r="I7" s="3">
        <v>0.1</v>
      </c>
      <c r="J7" s="3">
        <f>ROUND(H7+I7,1)</f>
        <v>2.2000000000000002</v>
      </c>
      <c r="K7" s="3" t="s">
        <v>18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1.25" customHeight="1">
      <c r="A8" s="3"/>
      <c r="B8" s="4">
        <v>4</v>
      </c>
      <c r="C8" s="6" t="s">
        <v>19</v>
      </c>
      <c r="D8" s="7" t="s">
        <v>20</v>
      </c>
      <c r="E8" s="3">
        <v>4</v>
      </c>
      <c r="F8" s="3">
        <v>5</v>
      </c>
      <c r="G8" s="3">
        <v>8</v>
      </c>
      <c r="H8" s="3">
        <f>ROUND((E8+4*F8+G8)/6,1)</f>
        <v>5.3</v>
      </c>
      <c r="I8" s="3">
        <v>0.1</v>
      </c>
      <c r="J8" s="3">
        <f>ROUND(H8+I8,1)</f>
        <v>5.4</v>
      </c>
      <c r="K8" s="3" t="s">
        <v>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1.25" customHeight="1">
      <c r="A9" s="3"/>
      <c r="B9" s="4">
        <v>5</v>
      </c>
      <c r="C9" s="6" t="s">
        <v>22</v>
      </c>
      <c r="D9" s="7" t="s">
        <v>23</v>
      </c>
      <c r="E9" s="3">
        <v>3</v>
      </c>
      <c r="F9" s="3">
        <v>4</v>
      </c>
      <c r="G9" s="3">
        <v>6</v>
      </c>
      <c r="H9" s="3">
        <f>ROUND((E9+4*F9+G9)/6,1)</f>
        <v>4.2</v>
      </c>
      <c r="I9" s="3">
        <v>0.1</v>
      </c>
      <c r="J9" s="3">
        <f>ROUND(H9+I9,1)</f>
        <v>4.3</v>
      </c>
      <c r="K9" s="3" t="s">
        <v>18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1.25" customHeight="1">
      <c r="A10" s="3"/>
      <c r="B10" s="4">
        <v>6</v>
      </c>
      <c r="C10" s="6" t="s">
        <v>24</v>
      </c>
      <c r="D10" s="7" t="s">
        <v>25</v>
      </c>
      <c r="E10" s="3">
        <v>3</v>
      </c>
      <c r="F10" s="3">
        <v>4</v>
      </c>
      <c r="G10" s="3">
        <v>6</v>
      </c>
      <c r="H10" s="3">
        <f>ROUND((E10+4*F10+G10)/6,1)</f>
        <v>4.2</v>
      </c>
      <c r="I10" s="3">
        <v>0.1</v>
      </c>
      <c r="J10" s="3">
        <f>ROUND(H10+I10,1)</f>
        <v>4.3</v>
      </c>
      <c r="K10" s="3" t="s">
        <v>21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2" customHeight="1">
      <c r="A11" s="3"/>
      <c r="B11" s="4"/>
      <c r="C11" s="5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1.25" customHeight="1">
      <c r="A12" s="3"/>
      <c r="B12" s="4">
        <v>7</v>
      </c>
      <c r="C12" s="6" t="s">
        <v>27</v>
      </c>
      <c r="D12" s="3" t="s">
        <v>28</v>
      </c>
      <c r="E12" s="3">
        <v>3</v>
      </c>
      <c r="F12" s="3">
        <v>4</v>
      </c>
      <c r="G12" s="3">
        <v>6</v>
      </c>
      <c r="H12" s="3">
        <f>ROUND((E12+4*F12+G12)/6,1)</f>
        <v>4.2</v>
      </c>
      <c r="I12" s="3">
        <v>0.1</v>
      </c>
      <c r="J12" s="3">
        <f>ROUND(H12+I12,1)</f>
        <v>4.3</v>
      </c>
      <c r="K12" s="3" t="s">
        <v>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1.25" customHeight="1">
      <c r="A13" s="3"/>
      <c r="B13" s="4">
        <v>8</v>
      </c>
      <c r="C13" s="6" t="s">
        <v>29</v>
      </c>
      <c r="D13" s="7" t="s">
        <v>30</v>
      </c>
      <c r="E13" s="3">
        <v>3</v>
      </c>
      <c r="F13" s="3">
        <v>4</v>
      </c>
      <c r="G13" s="3">
        <v>6</v>
      </c>
      <c r="H13" s="3">
        <f>ROUND((E13+4*F13+G13)/6,1)</f>
        <v>4.2</v>
      </c>
      <c r="I13" s="3">
        <v>0.1</v>
      </c>
      <c r="J13" s="3">
        <f>ROUND(H13+I13,1)</f>
        <v>4.3</v>
      </c>
      <c r="K13" s="3" t="s">
        <v>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1.25" customHeight="1">
      <c r="A14" s="3"/>
      <c r="B14" s="4"/>
      <c r="C14" s="6" t="s">
        <v>31</v>
      </c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1.25" customHeight="1">
      <c r="A15" s="3"/>
      <c r="B15" s="4">
        <v>9</v>
      </c>
      <c r="C15" s="8" t="s">
        <v>32</v>
      </c>
      <c r="D15" s="7" t="s">
        <v>33</v>
      </c>
      <c r="E15" s="3">
        <v>3</v>
      </c>
      <c r="F15" s="3">
        <v>4</v>
      </c>
      <c r="G15" s="3">
        <v>6</v>
      </c>
      <c r="H15" s="3">
        <f>ROUND((E15+4*F15+G15)/6,1)</f>
        <v>4.2</v>
      </c>
      <c r="I15" s="3">
        <v>0.1</v>
      </c>
      <c r="J15" s="3">
        <f>ROUND(H15+I15,1)</f>
        <v>4.3</v>
      </c>
      <c r="K15" s="3" t="s">
        <v>34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1.25" customHeight="1">
      <c r="A16" s="3"/>
      <c r="B16" s="4">
        <v>10</v>
      </c>
      <c r="C16" s="8" t="s">
        <v>35</v>
      </c>
      <c r="D16" s="7" t="s">
        <v>36</v>
      </c>
      <c r="E16" s="3">
        <v>3</v>
      </c>
      <c r="F16" s="3">
        <v>4</v>
      </c>
      <c r="G16" s="3">
        <v>6</v>
      </c>
      <c r="H16" s="3">
        <f>ROUND((E16+4*F16+G16)/6,1)</f>
        <v>4.2</v>
      </c>
      <c r="I16" s="3">
        <v>0.1</v>
      </c>
      <c r="J16" s="3">
        <f>ROUND(H16+I16,1)</f>
        <v>4.3</v>
      </c>
      <c r="K16" s="3" t="s">
        <v>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1.25" customHeight="1">
      <c r="A17" s="3"/>
      <c r="B17" s="4">
        <v>11</v>
      </c>
      <c r="C17" s="8" t="s">
        <v>37</v>
      </c>
      <c r="D17" s="7" t="s">
        <v>38</v>
      </c>
      <c r="E17" s="3">
        <v>2</v>
      </c>
      <c r="F17" s="3">
        <v>3</v>
      </c>
      <c r="G17" s="3">
        <v>4</v>
      </c>
      <c r="H17" s="3">
        <f>ROUND((E17+4*F17+G17)/6,1)</f>
        <v>3</v>
      </c>
      <c r="I17" s="3">
        <v>0.1</v>
      </c>
      <c r="J17" s="3">
        <f>ROUND(H17+I17,1)</f>
        <v>3.1</v>
      </c>
      <c r="K17" s="3" t="s">
        <v>34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1.25" customHeight="1">
      <c r="A18" s="3"/>
      <c r="B18" s="4"/>
      <c r="C18" s="6" t="s">
        <v>39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1.25" customHeight="1">
      <c r="A19" s="3"/>
      <c r="B19" s="4">
        <v>12</v>
      </c>
      <c r="C19" s="8" t="s">
        <v>40</v>
      </c>
      <c r="D19" s="7" t="s">
        <v>41</v>
      </c>
      <c r="E19" s="3">
        <v>1</v>
      </c>
      <c r="F19" s="3">
        <v>1.5</v>
      </c>
      <c r="G19" s="3">
        <v>2</v>
      </c>
      <c r="H19" s="3">
        <f>ROUND((E19+4*F19+G19)/6,1)</f>
        <v>1.5</v>
      </c>
      <c r="I19" s="3">
        <v>0.1</v>
      </c>
      <c r="J19" s="3">
        <f>ROUND(H19+I19,1)</f>
        <v>1.6</v>
      </c>
      <c r="K19" s="3" t="s">
        <v>18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1.25" customHeight="1">
      <c r="A20" s="3"/>
      <c r="B20" s="4">
        <v>13</v>
      </c>
      <c r="C20" s="8" t="s">
        <v>42</v>
      </c>
      <c r="D20" s="7" t="s">
        <v>43</v>
      </c>
      <c r="E20" s="3">
        <v>3</v>
      </c>
      <c r="F20" s="3">
        <v>4</v>
      </c>
      <c r="G20" s="3">
        <v>5</v>
      </c>
      <c r="H20" s="3">
        <f>ROUND((E20+4*F20+G20)/6,1)</f>
        <v>4</v>
      </c>
      <c r="I20" s="3">
        <v>0.1</v>
      </c>
      <c r="J20" s="3">
        <f>ROUND(H20+I20,1)</f>
        <v>4.0999999999999996</v>
      </c>
      <c r="K20" s="3" t="s">
        <v>18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1.25" customHeight="1">
      <c r="A21" s="3"/>
      <c r="B21" s="4">
        <v>14</v>
      </c>
      <c r="C21" s="8" t="s">
        <v>44</v>
      </c>
      <c r="D21" s="7" t="s">
        <v>45</v>
      </c>
      <c r="E21" s="3">
        <v>3</v>
      </c>
      <c r="F21" s="3">
        <v>4</v>
      </c>
      <c r="G21" s="3">
        <v>5</v>
      </c>
      <c r="H21" s="3">
        <f>ROUND((E21+4*F21+G21)/6,1)</f>
        <v>4</v>
      </c>
      <c r="I21" s="3">
        <v>0.1</v>
      </c>
      <c r="J21" s="3">
        <f>ROUND(H21+I21,1)</f>
        <v>4.0999999999999996</v>
      </c>
      <c r="K21" s="3" t="s">
        <v>18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1.25" customHeight="1">
      <c r="A22" s="3"/>
      <c r="B22" s="4">
        <v>15</v>
      </c>
      <c r="C22" s="8" t="s">
        <v>46</v>
      </c>
      <c r="D22" s="7" t="s">
        <v>47</v>
      </c>
      <c r="E22" s="3">
        <v>3</v>
      </c>
      <c r="F22" s="3">
        <v>4</v>
      </c>
      <c r="G22" s="3">
        <v>6</v>
      </c>
      <c r="H22" s="3">
        <f>ROUND((E22+4*F22+G22)/6,1)</f>
        <v>4.2</v>
      </c>
      <c r="I22" s="3">
        <v>0.1</v>
      </c>
      <c r="J22" s="3">
        <f>ROUND(H22+I22,1)</f>
        <v>4.3</v>
      </c>
      <c r="K22" s="3" t="s">
        <v>18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1.25" customHeight="1">
      <c r="A23" s="3"/>
      <c r="B23" s="4">
        <v>16</v>
      </c>
      <c r="C23" s="8" t="s">
        <v>48</v>
      </c>
      <c r="D23" s="7" t="s">
        <v>49</v>
      </c>
      <c r="E23" s="3">
        <v>3</v>
      </c>
      <c r="F23" s="3">
        <v>4</v>
      </c>
      <c r="G23" s="3">
        <v>5</v>
      </c>
      <c r="H23" s="3">
        <f>ROUND((E23+4*F23+G23)/6,1)</f>
        <v>4</v>
      </c>
      <c r="I23" s="3">
        <v>0.1</v>
      </c>
      <c r="J23" s="3">
        <f>ROUND(H23+I23,1)</f>
        <v>4.0999999999999996</v>
      </c>
      <c r="K23" s="3" t="s">
        <v>18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1.25" customHeight="1">
      <c r="A24" s="3"/>
      <c r="B24" s="4">
        <v>17</v>
      </c>
      <c r="C24" s="8" t="s">
        <v>50</v>
      </c>
      <c r="D24" s="7" t="s">
        <v>51</v>
      </c>
      <c r="E24" s="3">
        <v>3</v>
      </c>
      <c r="F24" s="3">
        <v>4</v>
      </c>
      <c r="G24" s="3">
        <v>5</v>
      </c>
      <c r="H24" s="3">
        <f>ROUND((E24+4*F24+G24)/6,1)</f>
        <v>4</v>
      </c>
      <c r="I24" s="3">
        <v>0.1</v>
      </c>
      <c r="J24" s="3">
        <f>ROUND(H24+I24,1)</f>
        <v>4.0999999999999996</v>
      </c>
      <c r="K24" s="3" t="s">
        <v>18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1.25" customHeight="1">
      <c r="A25" s="3"/>
      <c r="B25" s="4">
        <v>18</v>
      </c>
      <c r="C25" s="6" t="s">
        <v>52</v>
      </c>
      <c r="D25" s="7" t="s">
        <v>53</v>
      </c>
      <c r="E25" s="3">
        <v>3</v>
      </c>
      <c r="F25" s="3">
        <v>4</v>
      </c>
      <c r="G25" s="3">
        <v>6</v>
      </c>
      <c r="H25" s="3">
        <f>ROUND((E25+4*F25+G25)/6,1)</f>
        <v>4.2</v>
      </c>
      <c r="I25" s="3">
        <v>0.1</v>
      </c>
      <c r="J25" s="3">
        <f>ROUND(H25+I25,1)</f>
        <v>4.3</v>
      </c>
      <c r="K25" s="3" t="s">
        <v>21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1.25" customHeight="1">
      <c r="A26" s="3"/>
      <c r="B26" s="4"/>
      <c r="C26" s="6" t="s">
        <v>54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1.25" customHeight="1">
      <c r="A27" s="3"/>
      <c r="B27" s="4">
        <v>19</v>
      </c>
      <c r="C27" s="8" t="s">
        <v>55</v>
      </c>
      <c r="D27" s="7" t="s">
        <v>56</v>
      </c>
      <c r="E27" s="3">
        <v>2</v>
      </c>
      <c r="F27" s="3">
        <v>2.5</v>
      </c>
      <c r="G27" s="3">
        <v>3</v>
      </c>
      <c r="H27" s="3">
        <f>ROUND((E27+4*F27+G27)/6,1)</f>
        <v>2.5</v>
      </c>
      <c r="I27" s="3">
        <v>0.1</v>
      </c>
      <c r="J27" s="3">
        <f>ROUND(H27+I27,1)</f>
        <v>2.6</v>
      </c>
      <c r="K27" s="3" t="s">
        <v>21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1.25" customHeight="1">
      <c r="A28" s="3"/>
      <c r="B28" s="4">
        <v>20</v>
      </c>
      <c r="C28" s="8" t="s">
        <v>57</v>
      </c>
      <c r="D28" s="7" t="s">
        <v>58</v>
      </c>
      <c r="E28" s="3">
        <v>2</v>
      </c>
      <c r="F28" s="3">
        <v>2.5</v>
      </c>
      <c r="G28" s="3">
        <v>3</v>
      </c>
      <c r="H28" s="3">
        <f>ROUND((E28+4*F28+G28)/6,1)</f>
        <v>2.5</v>
      </c>
      <c r="I28" s="3">
        <v>0.1</v>
      </c>
      <c r="J28" s="3">
        <f>ROUND(H28+I28,1)</f>
        <v>2.6</v>
      </c>
      <c r="K28" s="3" t="s">
        <v>21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1.25" customHeight="1">
      <c r="A29" s="3"/>
      <c r="B29" s="4">
        <v>21</v>
      </c>
      <c r="C29" s="8" t="s">
        <v>59</v>
      </c>
      <c r="D29" s="7" t="s">
        <v>60</v>
      </c>
      <c r="E29" s="3">
        <v>2</v>
      </c>
      <c r="F29" s="3">
        <v>2.5</v>
      </c>
      <c r="G29" s="3">
        <v>3</v>
      </c>
      <c r="H29" s="3">
        <f>ROUND((E29+4*F29+G29)/6,1)</f>
        <v>2.5</v>
      </c>
      <c r="I29" s="3">
        <v>0.1</v>
      </c>
      <c r="J29" s="3">
        <f>ROUND(H29+I29,1)</f>
        <v>2.6</v>
      </c>
      <c r="K29" s="3" t="s">
        <v>21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1.25" customHeight="1">
      <c r="A30" s="3"/>
      <c r="B30" s="4">
        <v>22</v>
      </c>
      <c r="C30" s="8" t="s">
        <v>61</v>
      </c>
      <c r="D30" s="7" t="s">
        <v>62</v>
      </c>
      <c r="E30" s="3">
        <v>2</v>
      </c>
      <c r="F30" s="3">
        <v>3</v>
      </c>
      <c r="G30" s="3">
        <v>4</v>
      </c>
      <c r="H30" s="3">
        <f>ROUND((E30+4*F30+G30)/6,1)</f>
        <v>3</v>
      </c>
      <c r="I30" s="3">
        <v>0.1</v>
      </c>
      <c r="J30" s="3">
        <f>ROUND(H30+I30,1)</f>
        <v>3.1</v>
      </c>
      <c r="K30" s="3" t="s">
        <v>21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1.25" customHeight="1">
      <c r="A31" s="3"/>
      <c r="B31" s="4">
        <v>23</v>
      </c>
      <c r="C31" s="8" t="s">
        <v>63</v>
      </c>
      <c r="D31" s="7" t="s">
        <v>64</v>
      </c>
      <c r="E31" s="3">
        <v>2</v>
      </c>
      <c r="F31" s="3">
        <v>2.5</v>
      </c>
      <c r="G31" s="3">
        <v>3</v>
      </c>
      <c r="H31" s="3">
        <f>ROUND((E31+4*F31+G31)/6,1)</f>
        <v>2.5</v>
      </c>
      <c r="I31" s="3">
        <v>0.1</v>
      </c>
      <c r="J31" s="3">
        <f>ROUND(H31+I31,1)</f>
        <v>2.6</v>
      </c>
      <c r="K31" s="3" t="s">
        <v>21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1.25" customHeight="1">
      <c r="A32" s="3"/>
      <c r="B32" s="4">
        <v>24</v>
      </c>
      <c r="C32" s="8" t="s">
        <v>65</v>
      </c>
      <c r="D32" s="7" t="s">
        <v>66</v>
      </c>
      <c r="E32" s="3">
        <v>2</v>
      </c>
      <c r="F32" s="3">
        <v>2.5</v>
      </c>
      <c r="G32" s="3">
        <v>3</v>
      </c>
      <c r="H32" s="3">
        <f>ROUND((E32+4*F32+G32)/6,1)</f>
        <v>2.5</v>
      </c>
      <c r="I32" s="3">
        <v>0.1</v>
      </c>
      <c r="J32" s="3">
        <f>ROUND(H32+I32,1)</f>
        <v>2.6</v>
      </c>
      <c r="K32" s="3" t="s">
        <v>21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1.25" customHeight="1">
      <c r="A33" s="3"/>
      <c r="B33" s="4"/>
      <c r="C33" s="6" t="s">
        <v>67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1.25" customHeight="1">
      <c r="A34" s="3"/>
      <c r="B34" s="4">
        <v>21</v>
      </c>
      <c r="C34" s="8" t="s">
        <v>68</v>
      </c>
      <c r="D34" s="7" t="s">
        <v>69</v>
      </c>
      <c r="E34" s="3">
        <v>2</v>
      </c>
      <c r="F34" s="3">
        <v>2.5</v>
      </c>
      <c r="G34" s="3">
        <v>3</v>
      </c>
      <c r="H34" s="3">
        <f>ROUND((E34+4*F34+G34)/6,1)</f>
        <v>2.5</v>
      </c>
      <c r="I34" s="3">
        <v>0.1</v>
      </c>
      <c r="J34" s="3">
        <f>ROUND(H34+I34,1)</f>
        <v>2.6</v>
      </c>
      <c r="K34" s="3" t="s">
        <v>21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1.25" customHeight="1">
      <c r="A35" s="3"/>
      <c r="B35" s="4">
        <v>22</v>
      </c>
      <c r="C35" s="8" t="s">
        <v>70</v>
      </c>
      <c r="D35" s="7" t="s">
        <v>71</v>
      </c>
      <c r="E35" s="3">
        <v>2</v>
      </c>
      <c r="F35" s="3">
        <v>2.5</v>
      </c>
      <c r="G35" s="3">
        <v>3</v>
      </c>
      <c r="H35" s="3">
        <f>ROUND((E35+4*F35+G35)/6,1)</f>
        <v>2.5</v>
      </c>
      <c r="I35" s="3">
        <v>0.1</v>
      </c>
      <c r="J35" s="3">
        <f>ROUND(H35+I35,1)</f>
        <v>2.6</v>
      </c>
      <c r="K35" s="3" t="s">
        <v>21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1.25" customHeight="1">
      <c r="A36" s="3"/>
      <c r="B36" s="4">
        <v>23</v>
      </c>
      <c r="C36" s="8" t="s">
        <v>72</v>
      </c>
      <c r="D36" s="7" t="s">
        <v>73</v>
      </c>
      <c r="E36" s="3">
        <v>2</v>
      </c>
      <c r="F36" s="3">
        <v>2.5</v>
      </c>
      <c r="G36" s="3">
        <v>3</v>
      </c>
      <c r="H36" s="3">
        <f>ROUND((E36+4*F36+G36)/6,1)</f>
        <v>2.5</v>
      </c>
      <c r="I36" s="3">
        <v>0.1</v>
      </c>
      <c r="J36" s="3">
        <f>ROUND(H36+I36,1)</f>
        <v>2.6</v>
      </c>
      <c r="K36" s="3" t="s">
        <v>21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1.25" customHeight="1">
      <c r="A37" s="3"/>
      <c r="B37" s="4">
        <v>24</v>
      </c>
      <c r="C37" s="8" t="s">
        <v>74</v>
      </c>
      <c r="D37" s="7" t="s">
        <v>75</v>
      </c>
      <c r="E37" s="3">
        <v>2</v>
      </c>
      <c r="F37" s="3">
        <v>3</v>
      </c>
      <c r="G37" s="3">
        <v>4</v>
      </c>
      <c r="H37" s="3">
        <f>ROUND((E37+4*F37+G37)/6,1)</f>
        <v>3</v>
      </c>
      <c r="I37" s="3">
        <v>0.1</v>
      </c>
      <c r="J37" s="3">
        <f>ROUND(H37+I37,1)</f>
        <v>3.1</v>
      </c>
      <c r="K37" s="3" t="s">
        <v>21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1.25" customHeight="1">
      <c r="A38" s="3"/>
      <c r="B38" s="4">
        <v>25</v>
      </c>
      <c r="C38" s="8" t="s">
        <v>76</v>
      </c>
      <c r="D38" s="7" t="s">
        <v>77</v>
      </c>
      <c r="E38" s="3">
        <v>2</v>
      </c>
      <c r="F38" s="3">
        <v>2.5</v>
      </c>
      <c r="G38" s="3">
        <v>3</v>
      </c>
      <c r="H38" s="3">
        <f>ROUND((E38+4*F38+G38)/6,1)</f>
        <v>2.5</v>
      </c>
      <c r="I38" s="3">
        <v>0.1</v>
      </c>
      <c r="J38" s="3">
        <f>ROUND(H38+I38,1)</f>
        <v>2.6</v>
      </c>
      <c r="K38" s="3" t="s">
        <v>21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1.25" customHeight="1">
      <c r="A39" s="3"/>
      <c r="B39" s="4">
        <v>26</v>
      </c>
      <c r="C39" s="8" t="s">
        <v>78</v>
      </c>
      <c r="D39" s="7" t="s">
        <v>79</v>
      </c>
      <c r="E39" s="3">
        <v>2</v>
      </c>
      <c r="F39" s="3">
        <v>2.5</v>
      </c>
      <c r="G39" s="3">
        <v>3</v>
      </c>
      <c r="H39" s="3">
        <f>ROUND((E39+4*F39+G39)/6,1)</f>
        <v>2.5</v>
      </c>
      <c r="I39" s="3">
        <v>0.1</v>
      </c>
      <c r="J39" s="3">
        <f>ROUND(H39+I39,1)</f>
        <v>2.6</v>
      </c>
      <c r="K39" s="3" t="s">
        <v>21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1.25" customHeight="1">
      <c r="A40" s="3"/>
      <c r="B40" s="4"/>
      <c r="C40" s="6" t="s">
        <v>80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1.25" customHeight="1">
      <c r="A41" s="3"/>
      <c r="B41" s="4">
        <v>27</v>
      </c>
      <c r="C41" s="8" t="s">
        <v>81</v>
      </c>
      <c r="D41" s="7" t="s">
        <v>82</v>
      </c>
      <c r="E41" s="3">
        <v>4</v>
      </c>
      <c r="F41" s="3">
        <v>5</v>
      </c>
      <c r="G41" s="3">
        <v>8</v>
      </c>
      <c r="H41" s="3">
        <f>ROUND((E41+4*F41+G41)/6,1)</f>
        <v>5.3</v>
      </c>
      <c r="I41" s="3">
        <v>0.1</v>
      </c>
      <c r="J41" s="3">
        <f>ROUND(H41+I41,1)</f>
        <v>5.4</v>
      </c>
      <c r="K41" s="3" t="s">
        <v>83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1.25" customHeight="1">
      <c r="A42" s="3"/>
      <c r="B42" s="4">
        <v>28</v>
      </c>
      <c r="C42" s="8" t="s">
        <v>84</v>
      </c>
      <c r="D42" s="7" t="s">
        <v>85</v>
      </c>
      <c r="E42" s="3">
        <v>4</v>
      </c>
      <c r="F42" s="3">
        <v>5</v>
      </c>
      <c r="G42" s="3">
        <v>8</v>
      </c>
      <c r="H42" s="3">
        <f>ROUND((E42+4*F42+G42)/6,1)</f>
        <v>5.3</v>
      </c>
      <c r="I42" s="3">
        <v>0.1</v>
      </c>
      <c r="J42" s="3">
        <f>ROUND(H42+I42,1)</f>
        <v>5.4</v>
      </c>
      <c r="K42" s="3" t="s">
        <v>83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1.25" customHeight="1">
      <c r="A43" s="3"/>
      <c r="B43" s="4">
        <v>29</v>
      </c>
      <c r="C43" s="6" t="s">
        <v>86</v>
      </c>
      <c r="D43" s="7" t="s">
        <v>87</v>
      </c>
      <c r="E43" s="3">
        <v>3</v>
      </c>
      <c r="F43" s="3">
        <v>4</v>
      </c>
      <c r="G43" s="3">
        <v>6</v>
      </c>
      <c r="H43" s="3">
        <f>ROUND((E43+4*F43+G43)/6,1)</f>
        <v>4.2</v>
      </c>
      <c r="I43" s="3">
        <v>0.1</v>
      </c>
      <c r="J43" s="3">
        <f>ROUND(H43+I43,1)</f>
        <v>4.3</v>
      </c>
      <c r="K43" s="3" t="s">
        <v>18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1.25" customHeight="1">
      <c r="A44" s="3"/>
      <c r="B44" s="4">
        <v>30</v>
      </c>
      <c r="C44" s="6" t="s">
        <v>88</v>
      </c>
      <c r="D44" s="7" t="s">
        <v>89</v>
      </c>
      <c r="E44" s="3">
        <v>3</v>
      </c>
      <c r="F44" s="3">
        <v>4</v>
      </c>
      <c r="G44" s="3">
        <v>6</v>
      </c>
      <c r="H44" s="3">
        <f>ROUND((E44+4*F44+G44)/6,1)</f>
        <v>4.2</v>
      </c>
      <c r="I44" s="3">
        <v>0.1</v>
      </c>
      <c r="J44" s="3">
        <f>ROUND(H44+I44,1)</f>
        <v>4.3</v>
      </c>
      <c r="K44" s="3" t="s">
        <v>18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2" customHeight="1">
      <c r="A45" s="3"/>
      <c r="B45" s="4"/>
      <c r="C45" s="5" t="s">
        <v>90</v>
      </c>
      <c r="D45" s="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1.25" customHeight="1">
      <c r="A46" s="3"/>
      <c r="B46" s="4">
        <v>31</v>
      </c>
      <c r="C46" s="6" t="s">
        <v>91</v>
      </c>
      <c r="D46" s="7" t="s">
        <v>92</v>
      </c>
      <c r="E46" s="3">
        <v>6</v>
      </c>
      <c r="F46" s="3">
        <v>8</v>
      </c>
      <c r="G46" s="3">
        <v>12</v>
      </c>
      <c r="H46" s="3">
        <f>ROUND((E46+4*F46+G46)/6,1)</f>
        <v>8.3000000000000007</v>
      </c>
      <c r="I46" s="3">
        <v>0.1</v>
      </c>
      <c r="J46" s="3">
        <f>ROUND(H46+I46,1)</f>
        <v>8.4</v>
      </c>
      <c r="K46" s="3" t="s">
        <v>21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1.25" customHeight="1">
      <c r="A47" s="3"/>
      <c r="B47" s="4">
        <v>32</v>
      </c>
      <c r="C47" s="6" t="s">
        <v>93</v>
      </c>
      <c r="D47" s="7" t="s">
        <v>94</v>
      </c>
      <c r="E47" s="3">
        <v>6</v>
      </c>
      <c r="F47" s="3">
        <v>8</v>
      </c>
      <c r="G47" s="3">
        <v>12</v>
      </c>
      <c r="H47" s="3">
        <f>ROUND((E47+4*F47+G47)/6,1)</f>
        <v>8.3000000000000007</v>
      </c>
      <c r="I47" s="3">
        <v>0.1</v>
      </c>
      <c r="J47" s="3">
        <f>ROUND(H47+I47,1)</f>
        <v>8.4</v>
      </c>
      <c r="K47" s="3" t="s">
        <v>21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1.25" customHeight="1">
      <c r="A48" s="3"/>
      <c r="B48" s="4">
        <v>33</v>
      </c>
      <c r="C48" s="6" t="s">
        <v>95</v>
      </c>
      <c r="D48" s="7" t="s">
        <v>96</v>
      </c>
      <c r="E48" s="3">
        <v>6</v>
      </c>
      <c r="F48" s="3">
        <v>8</v>
      </c>
      <c r="G48" s="3">
        <v>12</v>
      </c>
      <c r="H48" s="3">
        <f>ROUND((E48+4*F48+G48)/6,1)</f>
        <v>8.3000000000000007</v>
      </c>
      <c r="I48" s="3">
        <v>0.1</v>
      </c>
      <c r="J48" s="3">
        <f>ROUND(H48+I48,1)</f>
        <v>8.4</v>
      </c>
      <c r="K48" s="3" t="s">
        <v>97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1.25" customHeight="1">
      <c r="A49" s="3"/>
      <c r="B49" s="4">
        <v>34</v>
      </c>
      <c r="C49" s="6" t="s">
        <v>98</v>
      </c>
      <c r="D49" s="7" t="s">
        <v>99</v>
      </c>
      <c r="E49" s="3">
        <v>15</v>
      </c>
      <c r="F49" s="3">
        <v>20</v>
      </c>
      <c r="G49" s="3">
        <v>30</v>
      </c>
      <c r="H49" s="3">
        <f>ROUND((E49+4*F49+G49)/6,1)</f>
        <v>20.8</v>
      </c>
      <c r="I49" s="3">
        <v>0.1</v>
      </c>
      <c r="J49" s="3">
        <f>ROUND(H49+I49,1)</f>
        <v>20.9</v>
      </c>
      <c r="K49" s="3" t="s">
        <v>13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1.25" customHeight="1">
      <c r="A50" s="3"/>
      <c r="B50" s="4"/>
      <c r="C50" s="6" t="s">
        <v>100</v>
      </c>
      <c r="D50" s="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1.25" customHeight="1">
      <c r="A51" s="3"/>
      <c r="B51" s="4">
        <v>35</v>
      </c>
      <c r="C51" s="8" t="s">
        <v>101</v>
      </c>
      <c r="D51" s="7" t="s">
        <v>102</v>
      </c>
      <c r="E51" s="3">
        <v>4</v>
      </c>
      <c r="F51" s="3">
        <v>6</v>
      </c>
      <c r="G51" s="3">
        <v>8</v>
      </c>
      <c r="H51" s="3">
        <f>ROUND((E51+4*F51+G51)/6,1)</f>
        <v>6</v>
      </c>
      <c r="I51" s="3">
        <v>0.1</v>
      </c>
      <c r="J51" s="3">
        <f>ROUND(H51+I51,1)</f>
        <v>6.1</v>
      </c>
      <c r="K51" s="3" t="s">
        <v>97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1.25" customHeight="1">
      <c r="A52" s="3"/>
      <c r="B52" s="4">
        <v>36</v>
      </c>
      <c r="C52" s="8" t="s">
        <v>103</v>
      </c>
      <c r="D52" s="7" t="s">
        <v>104</v>
      </c>
      <c r="E52" s="3">
        <v>6</v>
      </c>
      <c r="F52" s="3">
        <v>8</v>
      </c>
      <c r="G52" s="3">
        <v>10</v>
      </c>
      <c r="H52" s="3">
        <f>ROUND((E52+4*F52+G52)/6,1)</f>
        <v>8</v>
      </c>
      <c r="I52" s="3">
        <v>0.1</v>
      </c>
      <c r="J52" s="3">
        <f>ROUND(H52+I52,1)</f>
        <v>8.1</v>
      </c>
      <c r="K52" s="3" t="s">
        <v>97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1.25" customHeight="1">
      <c r="A53" s="3"/>
      <c r="B53" s="4">
        <v>37</v>
      </c>
      <c r="C53" s="8" t="s">
        <v>105</v>
      </c>
      <c r="D53" s="7" t="s">
        <v>106</v>
      </c>
      <c r="E53" s="3">
        <v>6</v>
      </c>
      <c r="F53" s="3">
        <v>8</v>
      </c>
      <c r="G53" s="3">
        <v>10</v>
      </c>
      <c r="H53" s="3">
        <f>ROUND((E53+4*F53+G53)/6,1)</f>
        <v>8</v>
      </c>
      <c r="I53" s="3">
        <v>0.1</v>
      </c>
      <c r="J53" s="3">
        <f>ROUND(H53+I53,1)</f>
        <v>8.1</v>
      </c>
      <c r="K53" s="3" t="s">
        <v>97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1.25" customHeight="1">
      <c r="A54" s="3"/>
      <c r="B54" s="4">
        <v>38</v>
      </c>
      <c r="C54" s="8" t="s">
        <v>107</v>
      </c>
      <c r="D54" s="7" t="s">
        <v>108</v>
      </c>
      <c r="E54" s="3">
        <v>8</v>
      </c>
      <c r="F54" s="3">
        <v>10</v>
      </c>
      <c r="G54" s="3">
        <v>14</v>
      </c>
      <c r="H54" s="3">
        <f>ROUND((E54+4*F54+G54)/6,1)</f>
        <v>10.3</v>
      </c>
      <c r="I54" s="3">
        <v>0.1</v>
      </c>
      <c r="J54" s="3">
        <f>ROUND(H54+I54,1)</f>
        <v>10.4</v>
      </c>
      <c r="K54" s="3" t="s">
        <v>97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1.25" customHeight="1">
      <c r="A55" s="3"/>
      <c r="B55" s="4">
        <v>39</v>
      </c>
      <c r="C55" s="8" t="s">
        <v>109</v>
      </c>
      <c r="D55" s="7" t="s">
        <v>110</v>
      </c>
      <c r="E55" s="3">
        <v>4</v>
      </c>
      <c r="F55" s="3">
        <v>5</v>
      </c>
      <c r="G55" s="3">
        <v>6</v>
      </c>
      <c r="H55" s="3">
        <f>ROUND((E55+4*F55+G55)/6,1)</f>
        <v>5</v>
      </c>
      <c r="I55" s="3">
        <v>0.1</v>
      </c>
      <c r="J55" s="3">
        <f>ROUND(H55+I55,1)</f>
        <v>5.0999999999999996</v>
      </c>
      <c r="K55" s="3" t="s">
        <v>97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1.25" customHeight="1">
      <c r="A56" s="3"/>
      <c r="B56" s="4">
        <v>40</v>
      </c>
      <c r="C56" s="8" t="s">
        <v>111</v>
      </c>
      <c r="D56" s="7" t="s">
        <v>112</v>
      </c>
      <c r="E56" s="3">
        <v>4</v>
      </c>
      <c r="F56" s="3">
        <v>5</v>
      </c>
      <c r="G56" s="3">
        <v>6</v>
      </c>
      <c r="H56" s="3">
        <f>ROUND((E56+4*F56+G56)/6,1)</f>
        <v>5</v>
      </c>
      <c r="I56" s="3">
        <v>0.1</v>
      </c>
      <c r="J56" s="3">
        <f>ROUND(H56+I56,1)</f>
        <v>5.0999999999999996</v>
      </c>
      <c r="K56" s="3" t="s">
        <v>97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1.25" customHeight="1">
      <c r="A57" s="3"/>
      <c r="B57" s="4">
        <v>41</v>
      </c>
      <c r="C57" s="8" t="s">
        <v>113</v>
      </c>
      <c r="D57" s="7" t="s">
        <v>114</v>
      </c>
      <c r="E57" s="3">
        <v>3</v>
      </c>
      <c r="F57" s="3">
        <v>4</v>
      </c>
      <c r="G57" s="3">
        <v>5</v>
      </c>
      <c r="H57" s="3">
        <f>ROUND((E57+4*F57+G57)/6,1)</f>
        <v>4</v>
      </c>
      <c r="I57" s="3">
        <v>0.1</v>
      </c>
      <c r="J57" s="3">
        <f>ROUND(H57+I57,1)</f>
        <v>4.0999999999999996</v>
      </c>
      <c r="K57" s="3" t="s">
        <v>97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1.25" customHeight="1">
      <c r="A58" s="3"/>
      <c r="B58" s="4">
        <v>42</v>
      </c>
      <c r="C58" s="6" t="s">
        <v>115</v>
      </c>
      <c r="D58" s="7" t="s">
        <v>116</v>
      </c>
      <c r="E58" s="3">
        <v>2</v>
      </c>
      <c r="F58" s="3">
        <v>3</v>
      </c>
      <c r="G58" s="3">
        <v>4</v>
      </c>
      <c r="H58" s="3">
        <f>ROUND((E58+4*F58+G58)/6,1)</f>
        <v>3</v>
      </c>
      <c r="I58" s="3">
        <v>0.1</v>
      </c>
      <c r="J58" s="3">
        <f>ROUND(H58+I58,1)</f>
        <v>3.1</v>
      </c>
      <c r="K58" s="3" t="s">
        <v>18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" customHeight="1">
      <c r="A59" s="3"/>
      <c r="B59" s="4"/>
      <c r="C59" s="5" t="s">
        <v>117</v>
      </c>
      <c r="D59" s="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1.25" customHeight="1">
      <c r="A60" s="3"/>
      <c r="B60" s="4"/>
      <c r="C60" s="6" t="s">
        <v>118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1.25" customHeight="1">
      <c r="A61" s="3"/>
      <c r="B61" s="4">
        <v>43</v>
      </c>
      <c r="C61" s="8" t="s">
        <v>119</v>
      </c>
      <c r="D61" s="7" t="s">
        <v>120</v>
      </c>
      <c r="E61" s="3">
        <v>6</v>
      </c>
      <c r="F61" s="3">
        <v>8</v>
      </c>
      <c r="G61" s="3">
        <v>10</v>
      </c>
      <c r="H61" s="3">
        <f>ROUND((E61+4*F61+G61)/6,1)</f>
        <v>8</v>
      </c>
      <c r="I61" s="3">
        <v>0.1</v>
      </c>
      <c r="J61" s="3">
        <f>ROUND(H61+I61,1)</f>
        <v>8.1</v>
      </c>
      <c r="K61" s="3" t="s">
        <v>34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1.25" customHeight="1">
      <c r="A62" s="3"/>
      <c r="B62" s="4">
        <v>44</v>
      </c>
      <c r="C62" s="8" t="s">
        <v>121</v>
      </c>
      <c r="D62" s="7" t="s">
        <v>122</v>
      </c>
      <c r="E62" s="3">
        <v>6</v>
      </c>
      <c r="F62" s="3">
        <v>8</v>
      </c>
      <c r="G62" s="3">
        <v>10</v>
      </c>
      <c r="H62" s="3">
        <f>ROUND((E62+4*F62+G62)/6,1)</f>
        <v>8</v>
      </c>
      <c r="I62" s="3">
        <v>0.1</v>
      </c>
      <c r="J62" s="3">
        <f>ROUND(H62+I62,1)</f>
        <v>8.1</v>
      </c>
      <c r="K62" s="3" t="s">
        <v>34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1.25" customHeight="1">
      <c r="A63" s="3"/>
      <c r="B63" s="4">
        <v>45</v>
      </c>
      <c r="C63" s="6" t="s">
        <v>123</v>
      </c>
      <c r="D63" s="7" t="s">
        <v>124</v>
      </c>
      <c r="E63" s="3">
        <v>4</v>
      </c>
      <c r="F63" s="3">
        <v>5</v>
      </c>
      <c r="G63" s="3">
        <v>6</v>
      </c>
      <c r="H63" s="3">
        <f>ROUND((E63+4*F63+G63)/6,1)</f>
        <v>5</v>
      </c>
      <c r="I63" s="3">
        <v>0.1</v>
      </c>
      <c r="J63" s="3">
        <f>ROUND(H63+I63,1)</f>
        <v>5.0999999999999996</v>
      </c>
      <c r="K63" s="3" t="s">
        <v>34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1.25" customHeight="1">
      <c r="A64" s="3"/>
      <c r="B64" s="4">
        <v>46</v>
      </c>
      <c r="C64" s="6" t="s">
        <v>125</v>
      </c>
      <c r="D64" s="7" t="s">
        <v>126</v>
      </c>
      <c r="E64" s="3">
        <v>4</v>
      </c>
      <c r="F64" s="3">
        <v>6</v>
      </c>
      <c r="G64" s="3">
        <v>8</v>
      </c>
      <c r="H64" s="3">
        <f>ROUND((E64+4*F64+G64)/6,1)</f>
        <v>6</v>
      </c>
      <c r="I64" s="3">
        <v>0.1</v>
      </c>
      <c r="J64" s="3">
        <f>ROUND(H64+I64,1)</f>
        <v>6.1</v>
      </c>
      <c r="K64" s="3" t="s">
        <v>97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" customHeight="1">
      <c r="A65" s="3"/>
      <c r="B65" s="4"/>
      <c r="C65" s="5" t="s">
        <v>127</v>
      </c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1.25" customHeight="1">
      <c r="A66" s="3"/>
      <c r="B66" s="4">
        <v>47</v>
      </c>
      <c r="C66" s="6" t="s">
        <v>128</v>
      </c>
      <c r="D66" s="7" t="s">
        <v>129</v>
      </c>
      <c r="E66" s="3">
        <v>2</v>
      </c>
      <c r="F66" s="3">
        <v>2.5</v>
      </c>
      <c r="G66" s="3">
        <v>3</v>
      </c>
      <c r="H66" s="3">
        <f>ROUND((E66+4*F66+G66)/6,1)</f>
        <v>2.5</v>
      </c>
      <c r="I66" s="3">
        <v>0.1</v>
      </c>
      <c r="J66" s="3">
        <f>ROUND(H66+I66,1)</f>
        <v>2.6</v>
      </c>
      <c r="K66" s="3" t="s">
        <v>13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1.25" customHeight="1">
      <c r="A67" s="3"/>
      <c r="B67" s="4">
        <v>48</v>
      </c>
      <c r="C67" s="6" t="s">
        <v>130</v>
      </c>
      <c r="D67" s="7" t="s">
        <v>131</v>
      </c>
      <c r="E67" s="3">
        <v>2</v>
      </c>
      <c r="F67" s="3">
        <v>2.5</v>
      </c>
      <c r="G67" s="3">
        <v>3</v>
      </c>
      <c r="H67" s="3">
        <f>ROUND((E67+4*F67+G67)/6,1)</f>
        <v>2.5</v>
      </c>
      <c r="I67" s="3">
        <v>0.1</v>
      </c>
      <c r="J67" s="3">
        <f>ROUND(H67+I67,1)</f>
        <v>2.6</v>
      </c>
      <c r="K67" s="3" t="s">
        <v>13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1.25" customHeight="1">
      <c r="A68" s="3"/>
      <c r="B68" s="4">
        <v>49</v>
      </c>
      <c r="C68" s="6" t="s">
        <v>132</v>
      </c>
      <c r="D68" s="7" t="s">
        <v>133</v>
      </c>
      <c r="E68" s="3">
        <v>3</v>
      </c>
      <c r="F68" s="3">
        <v>4</v>
      </c>
      <c r="G68" s="3">
        <v>6</v>
      </c>
      <c r="H68" s="3">
        <f>ROUND((E68+4*F68+G68)/6,1)</f>
        <v>4.2</v>
      </c>
      <c r="I68" s="3">
        <v>0.1</v>
      </c>
      <c r="J68" s="3">
        <f>ROUND(H68+I68,1)</f>
        <v>4.3</v>
      </c>
      <c r="K68" s="3" t="s">
        <v>97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1.25" customHeight="1">
      <c r="A69" s="3"/>
      <c r="B69" s="4">
        <v>50</v>
      </c>
      <c r="C69" s="6" t="s">
        <v>134</v>
      </c>
      <c r="D69" s="9" t="s">
        <v>135</v>
      </c>
      <c r="E69" s="3">
        <v>3</v>
      </c>
      <c r="F69" s="3">
        <v>4</v>
      </c>
      <c r="G69" s="3">
        <v>6</v>
      </c>
      <c r="H69" s="3">
        <f>ROUND((E69+4*F69+G69)/6,1)</f>
        <v>4.2</v>
      </c>
      <c r="I69" s="3">
        <v>0.1</v>
      </c>
      <c r="J69" s="3">
        <f>ROUND(H69+I69,1)</f>
        <v>4.3</v>
      </c>
      <c r="K69" s="3" t="s">
        <v>18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" customHeight="1">
      <c r="A70" s="3"/>
      <c r="B70" s="4">
        <v>51</v>
      </c>
      <c r="C70" s="10" t="s">
        <v>136</v>
      </c>
      <c r="D70" s="11" t="s">
        <v>137</v>
      </c>
      <c r="E70" s="3">
        <v>2</v>
      </c>
      <c r="F70" s="3">
        <v>3</v>
      </c>
      <c r="G70" s="3">
        <v>4</v>
      </c>
      <c r="H70" s="3">
        <f>ROUND((E70+4*F70+G70)/6,1)</f>
        <v>3</v>
      </c>
      <c r="I70" s="3">
        <v>0.1</v>
      </c>
      <c r="J70" s="3">
        <f>ROUND(H70+I70,1)</f>
        <v>3.1</v>
      </c>
      <c r="K70" s="3" t="s">
        <v>13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1.25" customHeight="1">
      <c r="A71" s="3"/>
      <c r="B71" s="12"/>
      <c r="C71" s="12"/>
      <c r="D71" s="1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1.25" customHeight="1">
      <c r="A72" s="3"/>
      <c r="B72" s="3"/>
      <c r="C72" s="13" t="s">
        <v>138</v>
      </c>
      <c r="D72" s="3"/>
      <c r="E72" s="3"/>
      <c r="F72" s="3"/>
      <c r="G72" s="3"/>
      <c r="H72" s="3"/>
      <c r="I72" s="3"/>
      <c r="J72" s="13">
        <f>SUM(J5:J70)</f>
        <v>260.09999999999991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1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1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1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1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1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1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1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1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1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1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1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1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1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1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1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B2:B3"/>
    <mergeCell ref="C2:C3"/>
    <mergeCell ref="D2:D3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25" zoomScaleNormal="100" workbookViewId="0"/>
  </sheetViews>
  <sheetFormatPr defaultColWidth="14.42578125" defaultRowHeight="15"/>
  <cols>
    <col min="1" max="1" width="31" customWidth="1"/>
    <col min="2" max="4" width="28.5703125" customWidth="1"/>
    <col min="5" max="26" width="8" customWidth="1"/>
  </cols>
  <sheetData>
    <row r="1" spans="1:4" ht="17.25" customHeight="1">
      <c r="A1" s="14" t="s">
        <v>139</v>
      </c>
    </row>
    <row r="2" spans="1:4" ht="17.25" customHeight="1">
      <c r="A2" s="14" t="s">
        <v>140</v>
      </c>
    </row>
    <row r="3" spans="1:4" ht="17.25" customHeight="1">
      <c r="A3" s="15"/>
    </row>
    <row r="4" spans="1:4" ht="17.25" customHeight="1">
      <c r="A4" s="16" t="s">
        <v>141</v>
      </c>
    </row>
    <row r="5" spans="1:4" ht="18" customHeight="1">
      <c r="A5" s="30" t="s">
        <v>142</v>
      </c>
      <c r="B5" s="30"/>
      <c r="C5" s="30"/>
      <c r="D5" s="30"/>
    </row>
    <row r="6" spans="1:4" ht="18" customHeight="1">
      <c r="A6" s="30" t="s">
        <v>143</v>
      </c>
      <c r="B6" s="30"/>
      <c r="C6" s="30"/>
      <c r="D6" s="30"/>
    </row>
    <row r="7" spans="1:4" ht="18" customHeight="1">
      <c r="A7" s="30" t="s">
        <v>144</v>
      </c>
      <c r="B7" s="30"/>
      <c r="C7" s="30"/>
      <c r="D7" s="30"/>
    </row>
    <row r="8" spans="1:4" ht="18" customHeight="1">
      <c r="A8" s="32" t="s">
        <v>145</v>
      </c>
      <c r="B8" s="32"/>
      <c r="C8" s="32"/>
      <c r="D8" s="32"/>
    </row>
    <row r="9" spans="1:4" ht="18" customHeight="1">
      <c r="A9" s="30" t="s">
        <v>146</v>
      </c>
      <c r="B9" s="30"/>
      <c r="C9" s="30"/>
      <c r="D9" s="30"/>
    </row>
    <row r="10" spans="1:4" ht="18" customHeight="1">
      <c r="A10" s="30" t="s">
        <v>147</v>
      </c>
      <c r="B10" s="30"/>
      <c r="C10" s="30"/>
      <c r="D10" s="30"/>
    </row>
    <row r="11" spans="1:4" ht="18" customHeight="1">
      <c r="A11" s="30" t="s">
        <v>148</v>
      </c>
      <c r="B11" s="30"/>
      <c r="C11" s="30"/>
      <c r="D11" s="30"/>
    </row>
    <row r="12" spans="1:4" ht="18" customHeight="1">
      <c r="A12" s="30" t="s">
        <v>149</v>
      </c>
      <c r="B12" s="30"/>
      <c r="C12" s="30"/>
      <c r="D12" s="30"/>
    </row>
    <row r="13" spans="1:4" ht="36" customHeight="1">
      <c r="A13" s="30" t="s">
        <v>150</v>
      </c>
      <c r="B13" s="30"/>
      <c r="C13" s="30"/>
      <c r="D13" s="30"/>
    </row>
    <row r="14" spans="1:4" ht="18" customHeight="1">
      <c r="A14" s="30" t="s">
        <v>151</v>
      </c>
      <c r="B14" s="30"/>
      <c r="C14" s="30"/>
      <c r="D14" s="30"/>
    </row>
    <row r="15" spans="1:4" ht="18" customHeight="1">
      <c r="A15" s="30" t="s">
        <v>152</v>
      </c>
      <c r="B15" s="30"/>
      <c r="C15" s="30"/>
      <c r="D15" s="30"/>
    </row>
    <row r="16" spans="1:4" ht="18" customHeight="1">
      <c r="A16" s="30" t="s">
        <v>153</v>
      </c>
      <c r="B16" s="30"/>
      <c r="C16" s="30"/>
      <c r="D16" s="30"/>
    </row>
    <row r="17" spans="1:4" ht="35.25" customHeight="1">
      <c r="A17" s="30" t="s">
        <v>154</v>
      </c>
      <c r="B17" s="30"/>
      <c r="C17" s="30"/>
      <c r="D17" s="30"/>
    </row>
    <row r="18" spans="1:4" ht="17.25" customHeight="1">
      <c r="A18" s="31" t="s">
        <v>155</v>
      </c>
      <c r="B18" s="31" t="s">
        <v>156</v>
      </c>
      <c r="C18" s="2" t="s">
        <v>157</v>
      </c>
      <c r="D18" s="2" t="s">
        <v>158</v>
      </c>
    </row>
    <row r="19" spans="1:4" ht="17.25" customHeight="1">
      <c r="A19" s="31"/>
      <c r="B19" s="31"/>
      <c r="C19" s="2" t="s">
        <v>159</v>
      </c>
      <c r="D19" s="2" t="s">
        <v>160</v>
      </c>
    </row>
    <row r="20" spans="1:4" ht="71.25" customHeight="1">
      <c r="A20" s="17" t="s">
        <v>161</v>
      </c>
      <c r="B20" s="29" t="s">
        <v>162</v>
      </c>
      <c r="C20" s="29" t="s">
        <v>163</v>
      </c>
      <c r="D20" s="18" t="s">
        <v>164</v>
      </c>
    </row>
    <row r="21" spans="1:4" ht="18" customHeight="1">
      <c r="A21" s="1" t="s">
        <v>165</v>
      </c>
      <c r="B21" s="29"/>
      <c r="C21" s="29"/>
      <c r="D21" s="19">
        <v>1667083585</v>
      </c>
    </row>
    <row r="22" spans="1:4" ht="18" customHeight="1">
      <c r="A22" s="20" t="s">
        <v>166</v>
      </c>
      <c r="B22" s="19"/>
      <c r="C22" s="19" t="s">
        <v>167</v>
      </c>
      <c r="D22" s="19"/>
    </row>
    <row r="23" spans="1:4" ht="132" customHeight="1">
      <c r="A23" s="26" t="s">
        <v>168</v>
      </c>
      <c r="B23" s="26" t="s">
        <v>83</v>
      </c>
      <c r="C23" s="26" t="s">
        <v>169</v>
      </c>
      <c r="D23" s="28" t="s">
        <v>170</v>
      </c>
    </row>
    <row r="24" spans="1:4" ht="14.25" customHeight="1">
      <c r="A24" s="26"/>
      <c r="B24" s="26"/>
      <c r="C24" s="26"/>
      <c r="D24" s="26"/>
    </row>
    <row r="25" spans="1:4" ht="15" customHeight="1">
      <c r="A25" s="26"/>
      <c r="B25" s="26"/>
      <c r="C25" s="26"/>
      <c r="D25" s="26"/>
    </row>
    <row r="26" spans="1:4" ht="132" customHeight="1">
      <c r="A26" s="26" t="s">
        <v>171</v>
      </c>
      <c r="B26" s="26" t="s">
        <v>97</v>
      </c>
      <c r="C26" s="26" t="s">
        <v>169</v>
      </c>
      <c r="D26" s="28" t="s">
        <v>172</v>
      </c>
    </row>
    <row r="27" spans="1:4" ht="14.25" customHeight="1">
      <c r="A27" s="26"/>
      <c r="B27" s="26"/>
      <c r="C27" s="26"/>
      <c r="D27" s="26"/>
    </row>
    <row r="28" spans="1:4" ht="15" customHeight="1">
      <c r="A28" s="26"/>
      <c r="B28" s="26"/>
      <c r="C28" s="26"/>
      <c r="D28" s="26"/>
    </row>
    <row r="29" spans="1:4" ht="18" customHeight="1">
      <c r="A29" s="26" t="s">
        <v>173</v>
      </c>
      <c r="B29" s="26"/>
      <c r="C29" s="26"/>
      <c r="D29" s="26"/>
    </row>
    <row r="30" spans="1:4" ht="17.25" customHeight="1">
      <c r="A30" s="16"/>
    </row>
    <row r="31" spans="1:4" ht="17.25" customHeight="1">
      <c r="A31" s="16"/>
    </row>
    <row r="32" spans="1:4" ht="17.25" customHeight="1">
      <c r="A32" s="16" t="s">
        <v>174</v>
      </c>
    </row>
    <row r="33" spans="1:4" ht="17.25" customHeight="1">
      <c r="A33" s="27" t="s">
        <v>175</v>
      </c>
      <c r="B33" s="27"/>
      <c r="C33" s="27"/>
      <c r="D33" s="27"/>
    </row>
    <row r="34" spans="1:4" ht="18" customHeight="1">
      <c r="A34" s="21" t="s">
        <v>176</v>
      </c>
    </row>
    <row r="35" spans="1:4" ht="18" customHeight="1">
      <c r="A35" s="22" t="s">
        <v>177</v>
      </c>
      <c r="B35" s="25" t="s">
        <v>178</v>
      </c>
      <c r="C35" s="25"/>
      <c r="D35" s="25"/>
    </row>
    <row r="36" spans="1:4" ht="18" customHeight="1">
      <c r="A36" s="22" t="s">
        <v>179</v>
      </c>
      <c r="B36" s="25" t="s">
        <v>180</v>
      </c>
      <c r="C36" s="25"/>
      <c r="D36" s="25"/>
    </row>
    <row r="37" spans="1:4" ht="18" customHeight="1">
      <c r="A37" s="22" t="s">
        <v>181</v>
      </c>
      <c r="B37" s="25" t="s">
        <v>182</v>
      </c>
      <c r="C37" s="25"/>
      <c r="D37" s="25"/>
    </row>
    <row r="38" spans="1:4" ht="18" customHeight="1">
      <c r="A38" s="22" t="s">
        <v>183</v>
      </c>
      <c r="B38" s="25" t="s">
        <v>184</v>
      </c>
      <c r="C38" s="25"/>
      <c r="D38" s="25"/>
    </row>
    <row r="39" spans="1:4" ht="18" customHeight="1">
      <c r="A39" s="22" t="s">
        <v>168</v>
      </c>
      <c r="B39" s="25" t="s">
        <v>83</v>
      </c>
      <c r="C39" s="25"/>
      <c r="D39" s="25"/>
    </row>
    <row r="40" spans="1:4" ht="18" customHeight="1">
      <c r="A40" s="22" t="s">
        <v>185</v>
      </c>
      <c r="B40" s="25" t="s">
        <v>97</v>
      </c>
      <c r="C40" s="25"/>
      <c r="D40" s="25"/>
    </row>
    <row r="41" spans="1:4" ht="18" customHeight="1">
      <c r="A41" s="22" t="s">
        <v>186</v>
      </c>
      <c r="B41" s="25" t="s">
        <v>187</v>
      </c>
      <c r="C41" s="25"/>
      <c r="D41" s="25"/>
    </row>
    <row r="42" spans="1:4" ht="18" customHeight="1">
      <c r="A42" s="22" t="s">
        <v>188</v>
      </c>
      <c r="B42" s="25" t="s">
        <v>189</v>
      </c>
      <c r="C42" s="25"/>
      <c r="D42" s="25"/>
    </row>
    <row r="43" spans="1:4" ht="18" customHeight="1">
      <c r="A43" s="23"/>
    </row>
    <row r="44" spans="1:4" ht="17.25" customHeight="1">
      <c r="C44" s="16" t="s">
        <v>168</v>
      </c>
    </row>
    <row r="45" spans="1:4" ht="36" customHeight="1">
      <c r="C45" s="23" t="s">
        <v>190</v>
      </c>
    </row>
    <row r="46" spans="1:4" ht="14.25" customHeight="1"/>
    <row r="47" spans="1:4" ht="17.25" customHeight="1">
      <c r="A47" s="14"/>
    </row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A19"/>
    <mergeCell ref="B18:B19"/>
    <mergeCell ref="B20:B21"/>
    <mergeCell ref="C20:C21"/>
    <mergeCell ref="A23:A25"/>
    <mergeCell ref="B23:B25"/>
    <mergeCell ref="C23:C25"/>
    <mergeCell ref="D23:D25"/>
    <mergeCell ref="A26:A28"/>
    <mergeCell ref="B26:B28"/>
    <mergeCell ref="C26:C28"/>
    <mergeCell ref="D26:D28"/>
    <mergeCell ref="A29:D29"/>
    <mergeCell ref="A33:D33"/>
    <mergeCell ref="B35:D35"/>
    <mergeCell ref="B36:D36"/>
    <mergeCell ref="B37:D37"/>
    <mergeCell ref="B38:D38"/>
    <mergeCell ref="B39:D39"/>
    <mergeCell ref="B40:D40"/>
    <mergeCell ref="B41:D41"/>
    <mergeCell ref="B42:D42"/>
  </mergeCells>
  <hyperlinks>
    <hyperlink ref="D20" r:id="rId1" xr:uid="{00000000-0004-0000-0100-000000000000}"/>
    <hyperlink ref="D23" r:id="rId2" xr:uid="{00000000-0004-0000-0100-000001000000}"/>
    <hyperlink ref="D26" r:id="rId3" xr:uid="{00000000-0004-0000-0100-000002000000}"/>
  </hyperlinks>
  <pageMargins left="0.7" right="0.7" top="0.75" bottom="0.75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C90F6D-5C7D-4DB6-9A29-127E96B50381}"/>
</file>

<file path=customXml/itemProps2.xml><?xml version="1.0" encoding="utf-8"?>
<ds:datastoreItem xmlns:ds="http://schemas.openxmlformats.org/officeDocument/2006/customXml" ds:itemID="{ADD1B3B4-6C8F-4399-BB7B-DCF12953531B}"/>
</file>

<file path=customXml/itemProps3.xml><?xml version="1.0" encoding="utf-8"?>
<ds:datastoreItem xmlns:ds="http://schemas.openxmlformats.org/officeDocument/2006/customXml" ds:itemID="{D5CEBB1B-6DF2-4385-8983-92785997A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MINHNHAT</dc:creator>
  <cp:keywords/>
  <dc:description/>
  <cp:lastModifiedBy>Duong Duc Duy 202490037</cp:lastModifiedBy>
  <cp:revision>0</cp:revision>
  <dcterms:created xsi:type="dcterms:W3CDTF">2010-07-15T23:19:21Z</dcterms:created>
  <dcterms:modified xsi:type="dcterms:W3CDTF">2026-09-16T13:08:32Z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  <property fmtid="{D5CDD505-2E9C-101B-9397-08002B2CF9AE}" pid="3" name="MediaServiceImageTags">
    <vt:lpwstr/>
  </property>
</Properties>
</file>