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11" documentId="11_28A2B52FBD16571132D573B3E54CD300A385233F" xr6:coauthVersionLast="47" xr6:coauthVersionMax="47" xr10:uidLastSave="{B7C509E5-C111-49DD-A769-9910A04104AA}"/>
  <bookViews>
    <workbookView xWindow="0" yWindow="0" windowWidth="0" windowHeight="0" firstSheet="1" activeTab="3" xr2:uid="{00000000-000D-0000-FFFF-FFFF00000000}"/>
  </bookViews>
  <sheets>
    <sheet name="DuToan" sheetId="1" r:id="rId1"/>
    <sheet name="CongLaoDong" sheetId="3" r:id="rId2"/>
    <sheet name="ChuyenDe" sheetId="2" r:id="rId3"/>
    <sheet name="ThietBiVatTu" sheetId="4" r:id="rId4"/>
    <sheet name="ChiKhac"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5" l="1"/>
  <c r="F28" i="4"/>
  <c r="F27" i="4"/>
  <c r="F26" i="4"/>
  <c r="F25" i="4"/>
  <c r="F24" i="4"/>
  <c r="F22" i="4"/>
  <c r="F21" i="4"/>
  <c r="F20" i="4"/>
  <c r="F18" i="4"/>
  <c r="F17" i="4"/>
  <c r="F16" i="4"/>
  <c r="F14" i="4"/>
  <c r="F13" i="4"/>
  <c r="F11" i="4"/>
  <c r="F9" i="4"/>
  <c r="F29" i="4" s="1"/>
  <c r="F12" i="3"/>
  <c r="D12" i="3"/>
  <c r="G12" i="3" s="1"/>
  <c r="F11" i="3"/>
  <c r="D11" i="3"/>
  <c r="G11" i="3" s="1"/>
  <c r="F10" i="3"/>
  <c r="D10" i="3"/>
  <c r="G10" i="3" s="1"/>
  <c r="F9" i="3"/>
  <c r="D9" i="3"/>
  <c r="G9" i="3" s="1"/>
  <c r="F8" i="3"/>
  <c r="F13" i="3" s="1"/>
  <c r="D8" i="3"/>
  <c r="H62" i="2"/>
  <c r="I61" i="2"/>
  <c r="J61" i="2" s="1"/>
  <c r="I60" i="2"/>
  <c r="J60" i="2" s="1"/>
  <c r="I59" i="2"/>
  <c r="J59" i="2" s="1"/>
  <c r="I58" i="2"/>
  <c r="J58" i="2" s="1"/>
  <c r="I57" i="2"/>
  <c r="J57" i="2" s="1"/>
  <c r="I55" i="2"/>
  <c r="J55" i="2" s="1"/>
  <c r="I54" i="2"/>
  <c r="J54" i="2" s="1"/>
  <c r="I53" i="2"/>
  <c r="J53" i="2" s="1"/>
  <c r="I52" i="2"/>
  <c r="J52" i="2" s="1"/>
  <c r="I51" i="2"/>
  <c r="J51" i="2" s="1"/>
  <c r="I50" i="2"/>
  <c r="J50" i="2" s="1"/>
  <c r="I49" i="2"/>
  <c r="J49" i="2" s="1"/>
  <c r="I48" i="2"/>
  <c r="J48" i="2" s="1"/>
  <c r="I47" i="2"/>
  <c r="J47" i="2" s="1"/>
  <c r="I46" i="2"/>
  <c r="J46"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29" i="2"/>
  <c r="J29" i="2" s="1"/>
  <c r="I28" i="2"/>
  <c r="J28" i="2" s="1"/>
  <c r="I27" i="2"/>
  <c r="J27" i="2" s="1"/>
  <c r="I26" i="2"/>
  <c r="J26" i="2" s="1"/>
  <c r="I25" i="2"/>
  <c r="J25" i="2" s="1"/>
  <c r="I24" i="2"/>
  <c r="J24" i="2" s="1"/>
  <c r="I23" i="2"/>
  <c r="J23" i="2" s="1"/>
  <c r="I22" i="2"/>
  <c r="J22" i="2" s="1"/>
  <c r="I20" i="2"/>
  <c r="J20" i="2" s="1"/>
  <c r="I19" i="2"/>
  <c r="J19" i="2" s="1"/>
  <c r="I18" i="2"/>
  <c r="J18" i="2" s="1"/>
  <c r="I17" i="2"/>
  <c r="J17" i="2" s="1"/>
  <c r="I16" i="2"/>
  <c r="J16" i="2" s="1"/>
  <c r="I15" i="2"/>
  <c r="J15" i="2" s="1"/>
  <c r="I14" i="2"/>
  <c r="J14" i="2" s="1"/>
  <c r="I13" i="2"/>
  <c r="J13" i="2" s="1"/>
  <c r="I12" i="2"/>
  <c r="J12" i="2" s="1"/>
  <c r="I10" i="2"/>
  <c r="J10" i="2" s="1"/>
  <c r="I9" i="2"/>
  <c r="J9" i="2" s="1"/>
  <c r="I8" i="2"/>
  <c r="J8" i="2" s="1"/>
  <c r="I7" i="2"/>
  <c r="J7" i="2" s="1"/>
  <c r="I6" i="2"/>
  <c r="J6" i="2" s="1"/>
  <c r="I5" i="2"/>
  <c r="J5" i="2" s="1"/>
  <c r="I4" i="2"/>
  <c r="J4" i="2" s="1"/>
  <c r="I3" i="2"/>
  <c r="J3" i="2" s="1"/>
  <c r="J62" i="2" s="1"/>
  <c r="L1" i="2"/>
  <c r="C10" i="1"/>
  <c r="C9" i="1"/>
  <c r="D13" i="3" l="1"/>
  <c r="G8" i="3"/>
  <c r="G13" i="3" s="1"/>
  <c r="C8" i="1" s="1"/>
  <c r="C11" i="1" s="1"/>
</calcChain>
</file>

<file path=xl/sharedStrings.xml><?xml version="1.0" encoding="utf-8"?>
<sst xmlns="http://schemas.openxmlformats.org/spreadsheetml/2006/main" count="460" uniqueCount="228">
  <si>
    <t>BẢNG DỰ TOÁN KINH PHÍ</t>
  </si>
  <si>
    <t>ĐỀ TÀI</t>
  </si>
  <si>
    <t>Xây dựng hệ thống quản lý hàng hóa và kho bãi sản phẩm thời trang</t>
  </si>
  <si>
    <t>MÃ SỐ</t>
  </si>
  <si>
    <t>CNTT20261_N01</t>
  </si>
  <si>
    <t>CHỦ TRÌ</t>
  </si>
  <si>
    <t>Bùi Tuấn Anh</t>
  </si>
  <si>
    <t>THỜI GIAN</t>
  </si>
  <si>
    <t>01/09/2026 ~ 31/03/2027</t>
  </si>
  <si>
    <t>TT</t>
  </si>
  <si>
    <t>Danh mục</t>
  </si>
  <si>
    <t>Số tiền (VNĐ)</t>
  </si>
  <si>
    <t>Ghi chú</t>
  </si>
  <si>
    <t>Công lao động</t>
  </si>
  <si>
    <t>Chi tiết tại sheet CongLaoDong, ChuyenDe</t>
  </si>
  <si>
    <t>Vật tư, Thiết bị</t>
  </si>
  <si>
    <t>Chi tiết tại sheet ThietBiVatTu</t>
  </si>
  <si>
    <t>Chi khác (VPP, Công tác, Quản lý...)</t>
  </si>
  <si>
    <t>Chi tiết tại sheet ChiKhac</t>
  </si>
  <si>
    <t>Tổng</t>
  </si>
  <si>
    <t>Bằng chữ: Bốn trăm linh tám triệu một trăm chín mươi sáu nghìn sáu trăm năm mươi đồng</t>
  </si>
  <si>
    <t>Hà Nội, Ngày 25 tháng 7 năm 2026</t>
  </si>
  <si>
    <t>Chủ nhiệm đề tài</t>
  </si>
  <si>
    <t>Người lập bảng</t>
  </si>
  <si>
    <t>PHỤ LỤC DỰ TOÁN KINH PHÍ
1. Nhân công lao động khoa học (khoán chi)</t>
  </si>
  <si>
    <t>Công lao động khoa học thực hiện theo mức lương cơ sở:</t>
  </si>
  <si>
    <t>Họ và tên</t>
  </si>
  <si>
    <t>Nhiệm vụ</t>
  </si>
  <si>
    <t>Số ngày công</t>
  </si>
  <si>
    <t>Hệ số nhiệm vụ</t>
  </si>
  <si>
    <t>Định mức / ngày công</t>
  </si>
  <si>
    <t>Thành tiền</t>
  </si>
  <si>
    <t>Chủ trì</t>
  </si>
  <si>
    <t>Bùi Quốc Luýt</t>
  </si>
  <si>
    <t>Thành viên chính</t>
  </si>
  <si>
    <t>Vũ Quang Minh</t>
  </si>
  <si>
    <t>Bạch Minh Quang</t>
  </si>
  <si>
    <t>Phạm Đoàn Bảo Thiên</t>
  </si>
  <si>
    <t>Bằng chữ: Hai trăm tám mươi lăm triệu ba trăm chín mươi sáu nghìn sáu trăm năm mươi đồng</t>
  </si>
  <si>
    <t>STT</t>
  </si>
  <si>
    <t>Các nội dung, công việc thực hiện</t>
  </si>
  <si>
    <t>Sản phẩm</t>
  </si>
  <si>
    <t>Thời gian</t>
  </si>
  <si>
    <t>Tiến trình</t>
  </si>
  <si>
    <t>Người thực hiện</t>
  </si>
  <si>
    <t>Công số (manday)</t>
  </si>
  <si>
    <t>Định mức</t>
  </si>
  <si>
    <t>Giá trị</t>
  </si>
  <si>
    <t>Lương cơ sở</t>
  </si>
  <si>
    <t>A. KHẢO SÁT &amp; YÊU CẦU</t>
  </si>
  <si>
    <t>Khảo sát cách kho nhận hàng từ nhà cung cấp, kiểm tra mẫu mã, màu, size, đối chiếu hóa đơn nhập; cách tiếp nhận và phân loại hàng khách trả lại.</t>
  </si>
  <si>
    <t>Báo cáo khảo sát &amp; đặc tả yêu cầu</t>
  </si>
  <si>
    <t>01/09/2026-25/09/2026</t>
  </si>
  <si>
    <t>Từ đầu</t>
  </si>
  <si>
    <t>Chủ nhiệm</t>
  </si>
  <si>
    <t>Khảo sát cách bộ phận bán hàng gửi yêu cầu xuất, cách kho soạn hàng, chuyển hàng giữa kho tổng và kho cửa hàng, xử lý hàng lỗi hỏng.</t>
  </si>
  <si>
    <t>Khảo sát quy trình kiểm kê, đối chiếu sổ sách; thu thập 13 biểu mẫu gồm 7 phiếu chứng từ và 6 mẫu báo cáo đang sử dụng.</t>
  </si>
  <si>
    <t>Khảo sát cách ghi nhận sản phẩm, loại, màu, size, giá nhập, giá bán, vị trí lưu trữ; xác định cấp quản lý đúng (sản phẩm hay biến thể).</t>
  </si>
  <si>
    <t>Tổng hợp kết quả khảo sát, mô tả 4 quy trình cốt lõi, liệt kê hạn chế của cách quản lý bằng sổ sách và Excel, đối chiếu vấn đề với nhu cầu hệ thống.</t>
  </si>
  <si>
    <t>Sau Task 1, 2, 3, 4</t>
  </si>
  <si>
    <t>Xác định mục tiêu đo được, phạm vi trong và ngoài hệ thống, tác nhân và các quy tắc nghiệp vụ QT-01 đến QT-06 (tồn không âm, chỉ đổi tồn khi phiếu hoàn thành...).</t>
  </si>
  <si>
    <t>Sau Task 5</t>
  </si>
  <si>
    <t>Lập danh sách 19 yêu cầu chức năng (FR) và 11 yêu cầu phi chức năng (NFR) kèm tiêu chí đo về hiệu năng, toàn vẹn dữ liệu, bảo mật.</t>
  </si>
  <si>
    <t>Sau Task 6</t>
  </si>
  <si>
    <t>Trao đổi với quản lý kho và bộ phận bán hàng của doanh nghiệp, tiếp nhận phản hồi và chốt tài liệu đặc tả yêu cầu.</t>
  </si>
  <si>
    <t>Sau Task 7</t>
  </si>
  <si>
    <t>B. PHÂN TÍCH &amp; THIẾT KẾ HỆ THỐNG</t>
  </si>
  <si>
    <t>Xác định tác nhân Người dùng, Quản lý, Nhân viên kho, Nhân viên bán hàng; lập ma trận phân quyền vai trò - use case làm căn cứ RBAC.</t>
  </si>
  <si>
    <t>Báo cáo phân tích thiết kế (UML)</t>
  </si>
  <si>
    <t>26/09/2026-20/11/2026</t>
  </si>
  <si>
    <t>Sau Task 8</t>
  </si>
  <si>
    <t>Vẽ biểu đồ use case tổng quát và phân rã 4 gói: Quản trị hệ thống, Quản lý danh mục, Nghiệp vụ kho, Tồn kho và báo cáo.</t>
  </si>
  <si>
    <t>Sau Task 9</t>
  </si>
  <si>
    <t>Đặc tả luồng chính, luồng thay thế, điều kiện trước/sau cho 19 use case, chi tiết nhất cho Nhập kho, Xuất kho, Duyệt điều chỉnh tồn, Đổi trả.</t>
  </si>
  <si>
    <t>Sau Task 10</t>
  </si>
  <si>
    <t>Xây dựng mô hình lĩnh vực (sản phẩm, biến thể, kho, tồn kho, phiếu kho, thẻ kho) và biểu đồ lớp phân tích theo mẫu BCE cho các use case trọng tâm.</t>
  </si>
  <si>
    <t>Sau Task 11</t>
  </si>
  <si>
    <t>Vẽ 4 biểu đồ tuần tự cho UC Nhập kho, Xuất kho, Duyệt điều chỉnh tồn kho, Xử lý đổi trả hàng.</t>
  </si>
  <si>
    <t>Sau Task 12</t>
  </si>
  <si>
    <t>Vẽ 4 biểu đồ hoạt động (nghiệp vụ tổng quát, yêu cầu và xuất kho, kiểm kê, đổi trả) và 2 biểu đồ trạng thái của PhieuKho, PhieuKiemKe.</t>
  </si>
  <si>
    <t>Chọn kiến trúc web 3 tầng (React - Spring Boot - PostgreSQL), chia 6 hệ thống con, tổ chức biểu đồ gói theo BCE và quy tắc phụ thuộc.</t>
  </si>
  <si>
    <t>Mô tả các thành phần phần mềm, REST API cung cấp; bố trí máy chủ ứng dụng, máy chủ CSDL, lưu trữ sao lưu và máy tính bảng tại kho.</t>
  </si>
  <si>
    <t>Sau Task 15</t>
  </si>
  <si>
    <t>Chi tiết hóa lớp thiết kế: kiểu dữ liệu, tầm vực, phương thức cho nhóm chứng từ kho, tồn kho và kiểm kê, danh mục hàng hóa và quản trị.</t>
  </si>
  <si>
    <t>Sau Task 13, 15</t>
  </si>
  <si>
    <t>C. THIẾT KẾ CƠ SỞ DỮ LIỆU &amp; GIAO DIỆN</t>
  </si>
  <si>
    <t>Ánh xạ lớp thực thể sang 15 bảng, xác định khóa chính, khóa ngoại, quan hệ giữa sản phẩm, biến thể, kho, tồn kho, phiếu kho và thẻ kho.</t>
  </si>
  <si>
    <t>Lược đồ CSDL &amp; từ điển dữ liệu</t>
  </si>
  <si>
    <t>21/11/2026-25/12/2026</t>
  </si>
  <si>
    <t>Sau Task 17</t>
  </si>
  <si>
    <t>Đặc tả chi tiết từng cột; ràng buộc CHECK tồn không âm, UNIQUE (kho, biến thể), chỉ mục thẻ kho theo (biến thể, kho, thời gian).</t>
  </si>
  <si>
    <t>Sau Task 18</t>
  </si>
  <si>
    <t>Viết script migration tạo bảng, khóa, ràng buộc trên PostgreSQL 16 và bộ dữ liệu mẫu (sản phẩm nhiều màu/size, nhiều kho) phục vụ phát triển.</t>
  </si>
  <si>
    <t>Sau Task 19</t>
  </si>
  <si>
    <t>Thiết kế luồng chuyển 10 màn hình, bố cục menu trái hiển thị theo quyền, ô tìm SKU nhận dữ liệu từ máy quét mã vạch, responsive cho máy tính bảng 10 inch.</t>
  </si>
  <si>
    <t>Thiết kế UI/UX hệ thống</t>
  </si>
  <si>
    <t>Thiết kế MH-01 Đăng nhập và MH-02 Tổng quan hiển thị cảnh báo hết hàng, sắp hết và các phiếu chờ xử lý.</t>
  </si>
  <si>
    <t>Sau Task 21</t>
  </si>
  <si>
    <t>Thiết kế MH-03 quản lý mẫu sản phẩm, sinh ma trận màu x size, khai báo giá nhập, giá bán, tồn tối thiểu cho từng biến thể.</t>
  </si>
  <si>
    <t>Thiết kế MH-04 Lập phiếu nhập kho, MH-05 Xử lý phiếu xuất, MH-08 Đổi trả hàng với thao tác quét hàng, hiển thị tồn khả dụng và thông báo lỗi.</t>
  </si>
  <si>
    <t>Thiết kế MH-06 Kiểm kê, MH-07 Duyệt kiểm kê, MH-09 Tra cứu tồn kho và thẻ kho, MH-10 Báo cáo với bộ lọc và xuất Excel.</t>
  </si>
  <si>
    <t>D. XÂY DỰNG CHƯƠNG TRÌNH</t>
  </si>
  <si>
    <t>Khởi tạo dự án Spring Boot 3 và ReactJS/TypeScript, cấu hình Docker, kho mã nguồn, quy ước code và pipeline build tự động.</t>
  </si>
  <si>
    <t>Mã nguồn &amp; module chạy được</t>
  </si>
  <si>
    <t>26/12/2026-15/02/2027</t>
  </si>
  <si>
    <t>Sau Task 20</t>
  </si>
  <si>
    <t>Xây dựng đăng nhập JWT, đổi mật khẩu, khóa tài khoản sau 5 lần sai; quản lý tài khoản, gán vai trò và kho phụ trách (UC-1.1, UC-1.2).</t>
  </si>
  <si>
    <t>Sau Task 26</t>
  </si>
  <si>
    <t>Xây dựng CRUD loại sản phẩm, màu sắc, kích thước, nhà cung cấp, kho và vị trí kho (UC-2.3, UC-2.4, UC-2.5).</t>
  </si>
  <si>
    <t>Xây dựng quản lý sản phẩm, sinh biến thể theo màu x size, tự sinh mã SKU, tìm kiếm và lọc theo loại, trạng thái (UC-2.1, UC-2.2).</t>
  </si>
  <si>
    <t>Sau Task 28</t>
  </si>
  <si>
    <t>Xây dựng dịch vụ tăng, trừ, điều chỉnh tồn có khóa dòng (SELECT ... FOR UPDATE), ghi thẻ kho chỉ thêm không sửa, dùng chung cho mọi nghiệp vụ.</t>
  </si>
  <si>
    <t>Sau Task 29</t>
  </si>
  <si>
    <t>Xây dựng lập phiếu nhập theo nhà cung cấp, quét SKU, hoàn tất phiếu trong một giao dịch: cộng tồn, ghi thẻ kho, đổi trạng thái (UC-3.1).</t>
  </si>
  <si>
    <t>Sau Task 30</t>
  </si>
  <si>
    <t>Xây dựng tạo yêu cầu xuất kèm mã đơn hàng cho nhân viên bán hàng; xử lý xuất kho kiểm tra đủ tồn, không cho tồn âm (UC-3.2, UC-3.3).</t>
  </si>
  <si>
    <t>Xây dựng chuyển hàng giữa các kho qua hai bước xuất đi và xác nhận nhận hàng tại kho đích (UC-3.4).</t>
  </si>
  <si>
    <t>Sau Task 32</t>
  </si>
  <si>
    <t>Xây dựng phiếu kiểm kê theo phạm vi, tự tính chênh lệch = thực tế - hệ thống; Quản lý duyệt, hệ thống sinh phiếu điều chỉnh (UC-3.5, UC-3.6).</t>
  </si>
  <si>
    <t>Xây dựng tiếp nhận đổi trả: nhập lại hàng tốt vào kho bán, tách hàng lỗi sang kho hàng lỗi, xuất hàng đổi sang, tính tiền chênh lệch (UC-3.7).</t>
  </si>
  <si>
    <t>Xây dựng lập phiếu hủy hàng lỗi, hỏng; phiếu chỉ trừ tồn sau khi Quản lý duyệt (UC-3.8).</t>
  </si>
  <si>
    <t>Sau Task 35</t>
  </si>
  <si>
    <t>Xây dựng tra cứu tồn theo kho, sản phẩm, màu, size, vị trí; cảnh báo hết hàng, sắp hết; truy xuất lịch sử biến động của biến thể (UC-4.1, UC-4.2, UC-4.4).</t>
  </si>
  <si>
    <t>Xây dựng 6 loại báo cáo: tồn kho, nhập, xuất, nhập - xuất - tồn, kiểm kê, hàng tồn lâu; xuất file .xlsx bằng Apache POI (UC-4.3).</t>
  </si>
  <si>
    <t>Sau Task 31, 32, 34</t>
  </si>
  <si>
    <t>Hiện thực 10 màn hình theo thiết kế trên ReactJS, menu theo quyền, hỗ trợ máy quét mã vạch và kết nối REST API.</t>
  </si>
  <si>
    <t>Sau Task 25, 27</t>
  </si>
  <si>
    <t>E. TÍCH HỢP &amp; KIỂM THỬ</t>
  </si>
  <si>
    <t>Kết nối giao diện với các dịch vụ, bảo đảm các hệ thống con Nghiệp vụ kho, Kiểm kê, Báo cáo đều đổi tồn qua dịch vụ Tồn kho và thẻ kho.</t>
  </si>
  <si>
    <t>Báo cáo kiểm thử</t>
  </si>
  <si>
    <t>16/02/2027-15/03/2027</t>
  </si>
  <si>
    <t>Sau Task 39</t>
  </si>
  <si>
    <t>Kiểm thử đăng nhập, khóa tài khoản, truy cập chức năng theo từng vai trò; CRUD danh mục, sinh SKU không trùng.</t>
  </si>
  <si>
    <t>Sau Task 40</t>
  </si>
  <si>
    <t>Kiểm thử cộng trừ tồn, ghi thẻ kho; kiểm thử hai phiếu xuất đồng thời trên cùng biến thể không làm tồn âm (NFR-04).</t>
  </si>
  <si>
    <t>Kiểm thử tính chênh lệch, luồng duyệt điều chỉnh, phân loại hàng trả tốt/lỗi, hủy hàng chỉ có hiệu lực sau khi duyệt.</t>
  </si>
  <si>
    <t>Đối chiếu số liệu báo cáo với thẻ kho: tồn cuối = tồn đầu + nhập - xuất ± điều chỉnh; kiểm tra cảnh báo tồn thấp và file Excel xuất ra.</t>
  </si>
  <si>
    <t>Đo tra cứu tồn dưới 2 giây với 50.000 biến thể và 100 người dùng; báo cáo NXT tháng dưới 10 giây; kiểm tra HTTPS, hết phiên, mã hóa mật khẩu.</t>
  </si>
  <si>
    <t>Cho người dùng doanh nghiệp chạy thử các luồng nghiệp vụ trọn vẹn từ nhập hàng, xuất bán, kiểm kê đến lập báo cáo; ghi nhận lỗi và góp ý.</t>
  </si>
  <si>
    <t>Sau Task 41, 42, 43, 44, 45</t>
  </si>
  <si>
    <t>Phân tích nguyên nhân, sửa các lỗi phát hiện trong quá trình kiểm thử và hoàn thiện hệ thống trước khi nghiệm thu.</t>
  </si>
  <si>
    <t>Sau Task 46</t>
  </si>
  <si>
    <t>F. TRIỂN KHAI &amp; BÀN GIAO</t>
  </si>
  <si>
    <t>Chuẩn bị máy chủ ứng dụng, máy chủ CSDL, Nginx HTTPS, cấu hình sao lưu hằng ngày giữ 30 bản gần nhất.</t>
  </si>
  <si>
    <t>Tài liệu cấu hình hệ thống</t>
  </si>
  <si>
    <t>16/03/2027-31/03/2027</t>
  </si>
  <si>
    <t>Sau Task 47</t>
  </si>
  <si>
    <t>Chuyển danh mục hàng hóa và số tồn đầu kỳ từ các file Excel hiện có vào hệ thống, triển khai và chạy thử tại kho tổng và cửa hàng.</t>
  </si>
  <si>
    <t>Biên bản nghiệm thu</t>
  </si>
  <si>
    <t>Sau Task 48</t>
  </si>
  <si>
    <t>Viết tài liệu hướng dẫn sử dụng theo vai trò Quản lý, Nhân viên kho, Nhân viên bán hàng và tài liệu vận hành hệ thống.</t>
  </si>
  <si>
    <t>Tài liệu hướng dẫn</t>
  </si>
  <si>
    <t>Tổng hợp kết quả thực hiện, kết quả kiểm thử, đối chiếu với mục tiêu dự án và lập hồ sơ nghiệm thu.</t>
  </si>
  <si>
    <t>Báo cáo nghiệm thu</t>
  </si>
  <si>
    <t>Sau Task 49, 50</t>
  </si>
  <si>
    <t>Hướng dẫn nhân viên kho và cửa hàng sử dụng hệ thống, máy quét mã vạch; hỗ trợ trong thời gian đầu vận hành.</t>
  </si>
  <si>
    <t>Xác nhận bàn giao</t>
  </si>
  <si>
    <t>Sau Task 51</t>
  </si>
  <si>
    <t>PHỤ LỤC DỰ TOÁN KINH PHÍ
2. Thiết bị vật tư</t>
  </si>
  <si>
    <t>Thiết bị vật tư phục vụ đề tài</t>
  </si>
  <si>
    <t>TÊN</t>
  </si>
  <si>
    <t>ĐƠN VỊ TÍNH</t>
  </si>
  <si>
    <t>SỐ LƯỢNG</t>
  </si>
  <si>
    <t>ĐƠN GIÁ (VNĐ)</t>
  </si>
  <si>
    <t>THÀNH TIỀN (VNĐ)</t>
  </si>
  <si>
    <t>I</t>
  </si>
  <si>
    <t>Giai đoạn A (Khảo sát hiện trạng &amp; Thu thập yêu cầu)</t>
  </si>
  <si>
    <t>Thuê laptop cho nhân sự khảo sát tại kho tổng và cửa hàng (1 tháng)</t>
  </si>
  <si>
    <t>Bộ</t>
  </si>
  <si>
    <t>II</t>
  </si>
  <si>
    <t>Giai đoạn B (Phân tích &amp; Thiết kế hệ thống)</t>
  </si>
  <si>
    <t>Thuê bộ máy tính làm việc cho nhóm dự án (2 tháng)</t>
  </si>
  <si>
    <t>Bộ/tháng</t>
  </si>
  <si>
    <t>III</t>
  </si>
  <si>
    <t>Giai đoạn C (Thiết kế cơ sở dữ liệu &amp; Giao diện)</t>
  </si>
  <si>
    <t>Thuê bộ máy tính làm việc cho nhóm dự án (1 tháng)</t>
  </si>
  <si>
    <t>Tài khoản Figma Professional thiết kế giao diện (2 người x 2 tháng)</t>
  </si>
  <si>
    <t>Tài khoản/tháng</t>
  </si>
  <si>
    <t>IV</t>
  </si>
  <si>
    <t>Giai đoạn D (Xây dựng chương trình)</t>
  </si>
  <si>
    <t>Cloud Server môi trường Dev/Staging (Docker, PostgreSQL)</t>
  </si>
  <si>
    <t>Tháng</t>
  </si>
  <si>
    <t>Máy quét mã vạch USB phục vụ lập trình, thử nghiệm nhập SKU</t>
  </si>
  <si>
    <t>Cái</t>
  </si>
  <si>
    <t>V</t>
  </si>
  <si>
    <t>Giai đoạn E (Tích hợp &amp; Kiểm thử)</t>
  </si>
  <si>
    <t>Cloud Server môi trường Testing, kiểm thử hiệu năng 50.000 biến thể</t>
  </si>
  <si>
    <t>Thuê máy tính bảng 10 inch kiểm thử giao diện tại kho (1 tháng)</t>
  </si>
  <si>
    <t>VI</t>
  </si>
  <si>
    <t>Giai đoạn F (Triển khai &amp; Bàn giao)</t>
  </si>
  <si>
    <t>Thuê bộ máy tính làm việc cho nhóm dự án (nửa tháng)</t>
  </si>
  <si>
    <t>Máy chủ ứng dụng Production 4 vCPU, 8 GB RAM (tháng đầu vận hành)</t>
  </si>
  <si>
    <t>Máy chủ CSDL Production 4 vCPU, 16 GB RAM, SSD 200 GB (tháng đầu vận hành)</t>
  </si>
  <si>
    <t>Object Storage lưu bản sao lưu CSDL 30 ngày</t>
  </si>
  <si>
    <t>Đăng ký tên miền hệ thống (.vn)</t>
  </si>
  <si>
    <t>Năm</t>
  </si>
  <si>
    <t>TỔNG CỘNG</t>
  </si>
  <si>
    <t>Bằng chữ: Bảy mươi ba triệu tám trăm nghìn đồng</t>
  </si>
  <si>
    <t>PHỤ LỤC DỰ TOÁN KINH PHÍ
3. Chi khác</t>
  </si>
  <si>
    <t>Chi khác phục vụ đề tài</t>
  </si>
  <si>
    <t>NỘI DUNG</t>
  </si>
  <si>
    <t>Mô tả chi tiết</t>
  </si>
  <si>
    <t>SỐ TIỀN (VNĐ)</t>
  </si>
  <si>
    <t>Giai đoạn A (Khảo sát hiện trạng &amp; thu thập yêu cầu - Tháng 09/2026)</t>
  </si>
  <si>
    <t>Văn phòng phẩm (phô tô, in ấn tài liệu)</t>
  </si>
  <si>
    <t>In phiếu phỏng vấn, bảng hỏi khảo sát; photo 13 biểu mẫu phiếu kho và báo cáo đang sử dụng; in Tôn chỉ dự án.</t>
  </si>
  <si>
    <t>Chi phí khảo sát (đi lại, workshop...)</t>
  </si>
  <si>
    <t>Di chuyển đến kho tổng và các kho cửa hàng để quan sát quy trình nhập, xuất, kiểm kê, đổi trả; phỏng vấn quản lý kho, nhân viên kho, nhân viên bán hàng.</t>
  </si>
  <si>
    <t>Giai đoạn B (Phân tích &amp; thiết kế hệ thống - Tháng 09/2026 - 11/2026)</t>
  </si>
  <si>
    <t>In tài liệu đặc tả yêu cầu (19 FR, 11 NFR), biểu đồ use case và đặc tả 19 use case để rà soát với doanh nghiệp.</t>
  </si>
  <si>
    <t>Tổ chức 01 buổi workshop thống nhất quy tắc nghiệp vụ QT-01 đến QT-06 và ma trận phân quyền với Ban Giám đốc và quản lý kho.</t>
  </si>
  <si>
    <t>Giai đoạn C (Thiết kế cơ sở dữ liệu &amp; giao diện - Tháng 11/2026 - 12/2026)</t>
  </si>
  <si>
    <t>Tổ chức buổi duyệt prototype 10 màn hình với nhân viên kho, thử thao tác quét mã vạch trên bản mẫu.</t>
  </si>
  <si>
    <t>Chi phí phục vụ OT (tiền nước, ăn uống ... cho nhân sự)</t>
  </si>
  <si>
    <t>Hỗ trợ ăn uống cho nhân sự tăng ca hoàn thiện lược đồ 15 bảng, từ điển dữ liệu và ràng buộc toàn vẹn.</t>
  </si>
  <si>
    <t>Giai đoạn D (Xây dựng chương trình - Tháng 12/2026 - 02/2027)</t>
  </si>
  <si>
    <t>Văn phòng phẩm (in tem mã vạch)</t>
  </si>
  <si>
    <t>In tem mã vạch SKU mẫu trên giấy decal để thử nghiệm quét khi lập phiếu nhập, xuất, kiểm kê.</t>
  </si>
  <si>
    <t>Bồi dưỡng lập trình viên tăng ca hoàn thiện dịch vụ tồn kho, thẻ kho và các nghiệp vụ nhập, xuất, chuyển kho, kiểm kê, đổi trả.</t>
  </si>
  <si>
    <t>Giai đoạn E (Tích hợp &amp; kiểm thử - Tháng 02/2027 - 03/2027)</t>
  </si>
  <si>
    <t>Chi phí đi lại, nước uống tổ chức kiểm thử chấp nhận người dùng (UAT) tại kho tổng và cửa hàng.</t>
  </si>
  <si>
    <t>Hỗ trợ nhân sự tăng ca sửa lỗi phát sinh sau kiểm thử tích hợp, kiểm thử đồng thời và hiệu năng.</t>
  </si>
  <si>
    <t>Giai đoạn F (Triển khai &amp; bàn giao - Tháng 03/2027)</t>
  </si>
  <si>
    <t>In tài liệu hướng dẫn sử dụng theo 3 vai trò, tài liệu vận hành và hồ sơ nghiệm thu.</t>
  </si>
  <si>
    <t>Chi phí đào tạo người dùng</t>
  </si>
  <si>
    <t>Thuê phòng, nước uống, đi lại tổ chức các buổi đào tạo cho quản lý, nhân viên kho và nhân viên bán hàng.</t>
  </si>
  <si>
    <t>Hỗ trợ nhân sự tăng ca chuyển đổi dữ liệu tồn đầu kỳ từ các file Excel và triển khai hệ thống.</t>
  </si>
  <si>
    <t>Bằng chữ: Bốn mươi chín triệu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</si>
</sst>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0">
    <font>
      <sz val="11"/>
      <color theme="1"/>
      <name val="Calibri"/>
      <family val="2"/>
      <scheme val="minor"/>
    </font>
    <font>
      <b/>
      <sz val="11"/>
      <color rgb="FFFFFFFF"/>
      <name val="Times New Roman"/>
    </font>
    <font>
      <sz val="11"/>
      <color rgb="FF000000"/>
      <name val="Times New Roman"/>
    </font>
    <font>
      <sz val="11"/>
      <color rgb="FF005975"/>
      <name val="Times New Roman"/>
    </font>
    <font>
      <b/>
      <sz val="11"/>
      <color rgb="FF000000"/>
      <name val="Times New Roman"/>
    </font>
    <font>
      <b/>
      <sz val="13"/>
      <color rgb="FF000000"/>
      <name val="Times New Roman"/>
    </font>
    <font>
      <b/>
      <sz val="12"/>
      <color rgb="FF000000"/>
      <name val="Times New Roman"/>
    </font>
    <font>
      <sz val="12"/>
      <color rgb="FF000000"/>
      <name val="Times New Roman"/>
    </font>
    <font>
      <i/>
      <sz val="12"/>
      <color rgb="FF000000"/>
      <name val="Times New Roman"/>
    </font>
    <font>
      <b/>
      <sz val="14"/>
      <color rgb="FF000000"/>
      <name val="Times New Roman"/>
    </font>
  </fonts>
  <fills count="7">
    <fill>
      <patternFill patternType="none"/>
    </fill>
    <fill>
      <patternFill patternType="gray125"/>
    </fill>
    <fill>
      <patternFill patternType="solid">
        <fgColor rgb="FF0B5394"/>
      </patternFill>
    </fill>
    <fill>
      <patternFill patternType="solid">
        <fgColor rgb="FFFFFF00"/>
      </patternFill>
    </fill>
    <fill>
      <patternFill patternType="solid">
        <fgColor rgb="FF3D85C6"/>
      </patternFill>
    </fill>
    <fill>
      <patternFill patternType="solid">
        <fgColor rgb="FFD9E2F3"/>
      </patternFill>
    </fill>
    <fill>
      <patternFill patternType="solid">
        <fgColor rgb="FFF2F2F2"/>
      </patternFill>
    </fill>
  </fills>
  <borders count="5">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diagonal/>
    </border>
    <border>
      <left style="dotted">
        <color auto="1"/>
      </left>
      <right style="dotted">
        <color auto="1"/>
      </right>
      <top/>
      <bottom style="dotted">
        <color auto="1"/>
      </bottom>
      <diagonal/>
    </border>
  </borders>
  <cellStyleXfs count="1">
    <xf numFmtId="0" fontId="0" fillId="0" borderId="0"/>
  </cellStyleXfs>
  <cellXfs count="44">
    <xf numFmtId="0" fontId="0" fillId="0" borderId="0" xfId="0"/>
    <xf numFmtId="0" fontId="6" fillId="0" borderId="0" xfId="0" applyFont="1" applyAlignment="1">
      <alignment vertical="center" wrapText="1"/>
    </xf>
    <xf numFmtId="0" fontId="7" fillId="0" borderId="0" xfId="0" applyFont="1" applyAlignment="1">
      <alignment vertical="center"/>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164" fontId="7" fillId="0" borderId="1" xfId="0" applyNumberFormat="1"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0" applyNumberFormat="1" applyFont="1" applyBorder="1" applyAlignment="1">
      <alignment vertical="center" wrapText="1"/>
    </xf>
    <xf numFmtId="0" fontId="8" fillId="0" borderId="0" xfId="0" applyFont="1" applyAlignment="1">
      <alignment vertical="center"/>
    </xf>
    <xf numFmtId="0" fontId="6" fillId="0" borderId="0" xfId="0" applyFont="1" applyAlignment="1">
      <alignment horizontal="center" vertical="center" wrapText="1"/>
    </xf>
    <xf numFmtId="0" fontId="1" fillId="2" borderId="1" xfId="0" applyFont="1" applyFill="1" applyBorder="1" applyAlignment="1">
      <alignment horizontal="center" vertical="center" wrapText="1"/>
    </xf>
    <xf numFmtId="164" fontId="2" fillId="3" borderId="0" xfId="0" applyNumberFormat="1" applyFont="1" applyFill="1" applyAlignment="1">
      <alignment vertical="center" wrapText="1"/>
    </xf>
    <xf numFmtId="0" fontId="3" fillId="0" borderId="2" xfId="0" applyFont="1" applyBorder="1" applyAlignment="1">
      <alignment horizontal="righ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2" fontId="3" fillId="0" borderId="2" xfId="0" applyNumberFormat="1" applyFont="1" applyBorder="1" applyAlignment="1">
      <alignment horizontal="right" vertical="center" wrapText="1"/>
    </xf>
    <xf numFmtId="164" fontId="3" fillId="0" borderId="2" xfId="0" applyNumberFormat="1" applyFont="1" applyBorder="1" applyAlignment="1">
      <alignment horizontal="right" vertical="center" wrapText="1"/>
    </xf>
    <xf numFmtId="2" fontId="4" fillId="0" borderId="2" xfId="0" applyNumberFormat="1" applyFont="1" applyBorder="1" applyAlignment="1">
      <alignment horizontal="right" vertical="center" wrapText="1"/>
    </xf>
    <xf numFmtId="164" fontId="4" fillId="0" borderId="2" xfId="0" applyNumberFormat="1" applyFont="1" applyBorder="1" applyAlignment="1">
      <alignment horizontal="right" vertical="center" wrapText="1"/>
    </xf>
    <xf numFmtId="0" fontId="6" fillId="0" borderId="0" xfId="0" applyFont="1" applyAlignment="1">
      <alignment vertical="center"/>
    </xf>
    <xf numFmtId="164" fontId="6" fillId="0" borderId="0" xfId="0" applyNumberFormat="1" applyFont="1" applyAlignment="1">
      <alignment vertical="center" wrapText="1"/>
    </xf>
    <xf numFmtId="2" fontId="7" fillId="0" borderId="1" xfId="0" applyNumberFormat="1" applyFont="1" applyBorder="1" applyAlignment="1">
      <alignment vertical="center" wrapText="1"/>
    </xf>
    <xf numFmtId="2" fontId="6" fillId="0" borderId="1" xfId="0" applyNumberFormat="1" applyFont="1" applyBorder="1" applyAlignment="1">
      <alignment vertical="center" wrapText="1"/>
    </xf>
    <xf numFmtId="3" fontId="7" fillId="0" borderId="1" xfId="0" applyNumberFormat="1" applyFont="1" applyBorder="1" applyAlignment="1">
      <alignment vertical="center" wrapText="1"/>
    </xf>
    <xf numFmtId="3" fontId="6" fillId="0" borderId="1" xfId="0" applyNumberFormat="1" applyFont="1" applyBorder="1" applyAlignment="1">
      <alignment vertical="center"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1" fillId="2" borderId="0" xfId="0" applyFont="1" applyFill="1" applyAlignment="1">
      <alignment horizontal="right" vertical="center" wrapText="1"/>
    </xf>
    <xf numFmtId="0" fontId="1" fillId="4" borderId="0" xfId="0" applyFont="1" applyFill="1" applyAlignment="1">
      <alignment vertical="center" wrapText="1"/>
    </xf>
    <xf numFmtId="0" fontId="3" fillId="0" borderId="2" xfId="0" applyFont="1" applyBorder="1" applyAlignment="1">
      <alignment horizontal="right" vertical="center" wrapText="1"/>
    </xf>
    <xf numFmtId="3" fontId="6" fillId="0" borderId="1" xfId="0" applyNumberFormat="1" applyFont="1" applyBorder="1" applyAlignment="1">
      <alignment horizontal="center" vertical="center" wrapText="1"/>
    </xf>
    <xf numFmtId="3" fontId="6" fillId="0" borderId="1" xfId="0" applyNumberFormat="1" applyFont="1" applyBorder="1" applyAlignment="1">
      <alignment vertical="center" wrapText="1"/>
    </xf>
    <xf numFmtId="0" fontId="6" fillId="6" borderId="1" xfId="0" applyFont="1" applyFill="1" applyBorder="1" applyAlignment="1">
      <alignment vertical="center" wrapText="1"/>
    </xf>
    <xf numFmtId="0" fontId="0" fillId="0" borderId="0" xfId="0" applyAlignment="1"/>
    <xf numFmtId="0" fontId="0" fillId="0" borderId="3" xfId="0" applyBorder="1" applyAlignment="1"/>
    <xf numFmtId="0" fontId="0" fillId="0" borderId="4" xfId="0" applyBorder="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heetViews>
  <sheetFormatPr defaultRowHeight="15"/>
  <cols>
    <col min="1" max="1" width="14" customWidth="1"/>
    <col min="2" max="2" width="40" customWidth="1"/>
    <col min="3" max="3" width="22" customWidth="1"/>
    <col min="4" max="4" width="30" customWidth="1"/>
  </cols>
  <sheetData>
    <row r="1" spans="1:4">
      <c r="A1" s="32" t="s">
        <v>0</v>
      </c>
      <c r="B1" s="41"/>
      <c r="C1" s="41"/>
      <c r="D1" s="41"/>
    </row>
    <row r="2" spans="1:4">
      <c r="A2" s="1" t="s">
        <v>1</v>
      </c>
      <c r="B2" s="2" t="s">
        <v>2</v>
      </c>
    </row>
    <row r="3" spans="1:4">
      <c r="A3" s="1" t="s">
        <v>3</v>
      </c>
      <c r="B3" s="2" t="s">
        <v>4</v>
      </c>
    </row>
    <row r="4" spans="1:4">
      <c r="A4" s="1" t="s">
        <v>5</v>
      </c>
      <c r="B4" s="2" t="s">
        <v>6</v>
      </c>
    </row>
    <row r="5" spans="1:4">
      <c r="A5" s="1" t="s">
        <v>7</v>
      </c>
      <c r="B5" s="2" t="s">
        <v>8</v>
      </c>
    </row>
    <row r="7" spans="1:4" ht="32.1" customHeight="1">
      <c r="A7" s="3" t="s">
        <v>9</v>
      </c>
      <c r="B7" s="3" t="s">
        <v>10</v>
      </c>
      <c r="C7" s="3" t="s">
        <v>11</v>
      </c>
      <c r="D7" s="3" t="s">
        <v>12</v>
      </c>
    </row>
    <row r="8" spans="1:4">
      <c r="A8" s="4">
        <v>1</v>
      </c>
      <c r="B8" s="5" t="s">
        <v>13</v>
      </c>
      <c r="C8" s="6">
        <f>CongLaoDong!G13</f>
        <v>285396650</v>
      </c>
      <c r="D8" s="5" t="s">
        <v>14</v>
      </c>
    </row>
    <row r="9" spans="1:4">
      <c r="A9" s="4">
        <v>2</v>
      </c>
      <c r="B9" s="5" t="s">
        <v>15</v>
      </c>
      <c r="C9" s="6">
        <f>ThietBiVatTu!F29</f>
        <v>73800000</v>
      </c>
      <c r="D9" s="5" t="s">
        <v>16</v>
      </c>
    </row>
    <row r="10" spans="1:4">
      <c r="A10" s="4">
        <v>3</v>
      </c>
      <c r="B10" s="5" t="s">
        <v>17</v>
      </c>
      <c r="C10" s="6">
        <f>ChiKhac!D27</f>
        <v>49000000</v>
      </c>
      <c r="D10" s="5" t="s">
        <v>18</v>
      </c>
    </row>
    <row r="11" spans="1:4">
      <c r="A11" s="28" t="s">
        <v>19</v>
      </c>
      <c r="B11" s="29"/>
      <c r="C11" s="9">
        <f>SUM(C8:C10)</f>
        <v>408196650</v>
      </c>
      <c r="D11" s="8"/>
    </row>
    <row r="13" spans="1:4">
      <c r="A13" s="10" t="s">
        <v>20</v>
      </c>
    </row>
    <row r="15" spans="1:4">
      <c r="C15" s="31" t="s">
        <v>21</v>
      </c>
      <c r="D15" s="41"/>
    </row>
    <row r="16" spans="1:4">
      <c r="A16" s="27" t="s">
        <v>22</v>
      </c>
      <c r="B16" s="41"/>
      <c r="C16" s="27" t="s">
        <v>23</v>
      </c>
      <c r="D16" s="41"/>
    </row>
    <row r="20" spans="1:4">
      <c r="A20" s="27" t="s">
        <v>6</v>
      </c>
      <c r="B20" s="41"/>
      <c r="C20" s="27" t="s">
        <v>6</v>
      </c>
      <c r="D20" s="41"/>
    </row>
  </sheetData>
  <mergeCells count="7">
    <mergeCell ref="A1:D1"/>
    <mergeCell ref="C20:D20"/>
    <mergeCell ref="A20:B20"/>
    <mergeCell ref="A16:B16"/>
    <mergeCell ref="C16:D16"/>
    <mergeCell ref="C15:D15"/>
    <mergeCell ref="A11:B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heetViews>
  <sheetFormatPr defaultRowHeight="15"/>
  <cols>
    <col min="1" max="1" width="8" customWidth="1"/>
    <col min="2" max="2" width="24" customWidth="1"/>
    <col min="3" max="3" width="20" customWidth="1"/>
    <col min="4" max="5" width="14" customWidth="1"/>
    <col min="6" max="6" width="16" customWidth="1"/>
    <col min="7" max="7" width="18" customWidth="1"/>
  </cols>
  <sheetData>
    <row r="1" spans="1:7" ht="36" customHeight="1">
      <c r="A1" s="30" t="s">
        <v>24</v>
      </c>
      <c r="B1" s="41"/>
      <c r="C1" s="41"/>
      <c r="D1" s="41"/>
      <c r="E1" s="41"/>
      <c r="F1" s="41"/>
      <c r="G1" s="41"/>
    </row>
    <row r="2" spans="1:7">
      <c r="A2" s="1" t="s">
        <v>1</v>
      </c>
      <c r="B2" s="2" t="s">
        <v>2</v>
      </c>
    </row>
    <row r="3" spans="1:7">
      <c r="A3" s="1" t="s">
        <v>3</v>
      </c>
      <c r="B3" s="2" t="s">
        <v>4</v>
      </c>
    </row>
    <row r="4" spans="1:7">
      <c r="A4" s="1" t="s">
        <v>5</v>
      </c>
      <c r="B4" s="2" t="s">
        <v>6</v>
      </c>
    </row>
    <row r="5" spans="1:7">
      <c r="A5" s="21" t="s">
        <v>25</v>
      </c>
      <c r="E5" s="22">
        <v>2530000</v>
      </c>
    </row>
    <row r="7" spans="1:7" ht="32.1" customHeight="1">
      <c r="A7" s="3" t="s">
        <v>9</v>
      </c>
      <c r="B7" s="3" t="s">
        <v>26</v>
      </c>
      <c r="C7" s="3" t="s">
        <v>27</v>
      </c>
      <c r="D7" s="3" t="s">
        <v>28</v>
      </c>
      <c r="E7" s="3" t="s">
        <v>29</v>
      </c>
      <c r="F7" s="3" t="s">
        <v>30</v>
      </c>
      <c r="G7" s="3" t="s">
        <v>31</v>
      </c>
    </row>
    <row r="8" spans="1:7">
      <c r="A8" s="4">
        <v>1</v>
      </c>
      <c r="B8" s="5" t="s">
        <v>6</v>
      </c>
      <c r="C8" s="5" t="s">
        <v>32</v>
      </c>
      <c r="D8" s="23">
        <f>SUMIF(ChuyenDe!$G$2:$G$61, $B8, ChuyenDe!$H$2:$H$61)</f>
        <v>43.266666666666673</v>
      </c>
      <c r="E8" s="4">
        <v>0.75</v>
      </c>
      <c r="F8" s="6">
        <f>E8*$E$5</f>
        <v>1897500</v>
      </c>
      <c r="G8" s="6">
        <f>D8*F8</f>
        <v>82098500.000000015</v>
      </c>
    </row>
    <row r="9" spans="1:7">
      <c r="A9" s="4">
        <v>2</v>
      </c>
      <c r="B9" s="5" t="s">
        <v>33</v>
      </c>
      <c r="C9" s="5" t="s">
        <v>34</v>
      </c>
      <c r="D9" s="23">
        <f>SUMIF(ChuyenDe!$G$2:$G$61, $B9, ChuyenDe!$H$2:$H$61)</f>
        <v>48.95</v>
      </c>
      <c r="E9" s="4">
        <v>0.45</v>
      </c>
      <c r="F9" s="6">
        <f>E9*$E$5</f>
        <v>1138500</v>
      </c>
      <c r="G9" s="6">
        <f>D9*F9</f>
        <v>55729575</v>
      </c>
    </row>
    <row r="10" spans="1:7">
      <c r="A10" s="4">
        <v>3</v>
      </c>
      <c r="B10" s="5" t="s">
        <v>35</v>
      </c>
      <c r="C10" s="5" t="s">
        <v>34</v>
      </c>
      <c r="D10" s="23">
        <f>SUMIF(ChuyenDe!$G$2:$G$61, $B10, ChuyenDe!$H$2:$H$61)</f>
        <v>41.983333333333341</v>
      </c>
      <c r="E10" s="4">
        <v>0.45</v>
      </c>
      <c r="F10" s="6">
        <f>E10*$E$5</f>
        <v>1138500</v>
      </c>
      <c r="G10" s="6">
        <f>D10*F10</f>
        <v>47798025.000000007</v>
      </c>
    </row>
    <row r="11" spans="1:7">
      <c r="A11" s="4">
        <v>4</v>
      </c>
      <c r="B11" s="5" t="s">
        <v>36</v>
      </c>
      <c r="C11" s="5" t="s">
        <v>34</v>
      </c>
      <c r="D11" s="23">
        <f>SUMIF(ChuyenDe!$G$2:$G$61, $B11, ChuyenDe!$H$2:$H$61)</f>
        <v>44.000000000000007</v>
      </c>
      <c r="E11" s="4">
        <v>0.45</v>
      </c>
      <c r="F11" s="6">
        <f>E11*$E$5</f>
        <v>1138500</v>
      </c>
      <c r="G11" s="6">
        <f>D11*F11</f>
        <v>50094000.000000007</v>
      </c>
    </row>
    <row r="12" spans="1:7">
      <c r="A12" s="4">
        <v>5</v>
      </c>
      <c r="B12" s="5" t="s">
        <v>37</v>
      </c>
      <c r="C12" s="5" t="s">
        <v>34</v>
      </c>
      <c r="D12" s="23">
        <f>SUMIF(ChuyenDe!$G$2:$G$61, $B12, ChuyenDe!$H$2:$H$61)</f>
        <v>43.63333333333334</v>
      </c>
      <c r="E12" s="4">
        <v>0.45</v>
      </c>
      <c r="F12" s="6">
        <f>E12*$E$5</f>
        <v>1138500</v>
      </c>
      <c r="G12" s="6">
        <f>D12*F12</f>
        <v>49676550.000000007</v>
      </c>
    </row>
    <row r="13" spans="1:7">
      <c r="A13" s="28" t="s">
        <v>19</v>
      </c>
      <c r="B13" s="29"/>
      <c r="C13" s="29"/>
      <c r="D13" s="24">
        <f>SUM(D8:D12)</f>
        <v>221.83333333333337</v>
      </c>
      <c r="E13" s="8"/>
      <c r="F13" s="9">
        <f>AVERAGE(F8:F12)</f>
        <v>1290300</v>
      </c>
      <c r="G13" s="9">
        <f>SUM(G8:G12)</f>
        <v>285396650</v>
      </c>
    </row>
    <row r="15" spans="1:7">
      <c r="A15" s="10" t="s">
        <v>38</v>
      </c>
    </row>
    <row r="17" spans="2:7">
      <c r="D17" s="31" t="s">
        <v>21</v>
      </c>
      <c r="E17" s="41"/>
      <c r="F17" s="41"/>
      <c r="G17" s="41"/>
    </row>
    <row r="18" spans="2:7">
      <c r="B18" s="11" t="s">
        <v>22</v>
      </c>
      <c r="D18" s="27" t="s">
        <v>23</v>
      </c>
      <c r="E18" s="41"/>
      <c r="F18" s="41"/>
      <c r="G18" s="41"/>
    </row>
    <row r="22" spans="2:7">
      <c r="B22" s="11" t="s">
        <v>6</v>
      </c>
      <c r="D22" s="27" t="s">
        <v>6</v>
      </c>
      <c r="E22" s="41"/>
      <c r="F22" s="41"/>
      <c r="G22" s="41"/>
    </row>
  </sheetData>
  <mergeCells count="5">
    <mergeCell ref="D22:G22"/>
    <mergeCell ref="D18:G18"/>
    <mergeCell ref="A13:C13"/>
    <mergeCell ref="A1:G1"/>
    <mergeCell ref="D17:G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2"/>
  <sheetViews>
    <sheetView workbookViewId="0">
      <pane ySplit="1" topLeftCell="A2" activePane="bottomLeft" state="frozen"/>
      <selection pane="bottomLeft"/>
    </sheetView>
  </sheetViews>
  <sheetFormatPr defaultRowHeight="15"/>
  <cols>
    <col min="1" max="1" width="6" customWidth="1"/>
    <col min="2" max="2" width="55" customWidth="1"/>
    <col min="3" max="3" width="24" customWidth="1"/>
    <col min="4" max="4" width="14" customWidth="1"/>
    <col min="5" max="5" width="16" customWidth="1"/>
    <col min="6" max="6" width="17" customWidth="1"/>
    <col min="7" max="7" width="21" customWidth="1"/>
    <col min="8" max="8" width="11" customWidth="1"/>
    <col min="9" max="10" width="14" customWidth="1"/>
    <col min="11" max="11" width="15" customWidth="1"/>
    <col min="12" max="12" width="13" customWidth="1"/>
  </cols>
  <sheetData>
    <row r="1" spans="1:12" ht="32.1" customHeight="1">
      <c r="A1" s="12" t="s">
        <v>39</v>
      </c>
      <c r="B1" s="12" t="s">
        <v>40</v>
      </c>
      <c r="C1" s="12" t="s">
        <v>41</v>
      </c>
      <c r="D1" s="12" t="s">
        <v>42</v>
      </c>
      <c r="E1" s="12" t="s">
        <v>43</v>
      </c>
      <c r="F1" s="12" t="s">
        <v>27</v>
      </c>
      <c r="G1" s="12" t="s">
        <v>44</v>
      </c>
      <c r="H1" s="12" t="s">
        <v>45</v>
      </c>
      <c r="I1" s="12" t="s">
        <v>46</v>
      </c>
      <c r="J1" s="12" t="s">
        <v>47</v>
      </c>
      <c r="K1" s="13" t="s">
        <v>48</v>
      </c>
      <c r="L1" s="13">
        <f>CongLaoDong!E5</f>
        <v>2530000</v>
      </c>
    </row>
    <row r="2" spans="1:12" ht="21.95" customHeight="1">
      <c r="A2" s="36" t="s">
        <v>49</v>
      </c>
      <c r="B2" s="41"/>
      <c r="C2" s="41"/>
      <c r="D2" s="41"/>
      <c r="E2" s="41"/>
      <c r="F2" s="41"/>
      <c r="G2" s="41"/>
      <c r="H2" s="41"/>
      <c r="I2" s="41"/>
      <c r="J2" s="41"/>
    </row>
    <row r="3" spans="1:12" ht="48" customHeight="1">
      <c r="A3" s="14">
        <v>1</v>
      </c>
      <c r="B3" s="15" t="s">
        <v>50</v>
      </c>
      <c r="C3" s="15" t="s">
        <v>51</v>
      </c>
      <c r="D3" s="34" t="s">
        <v>52</v>
      </c>
      <c r="E3" s="16" t="s">
        <v>53</v>
      </c>
      <c r="F3" s="15" t="s">
        <v>54</v>
      </c>
      <c r="G3" s="15" t="s">
        <v>6</v>
      </c>
      <c r="H3" s="17">
        <v>3.4833333333333329</v>
      </c>
      <c r="I3" s="18">
        <f>VLOOKUP(G3,CongLaoDong!$B$8:$F$12,5,0)</f>
        <v>1897500</v>
      </c>
      <c r="J3" s="18">
        <f>H3*I3</f>
        <v>6609624.9999999991</v>
      </c>
    </row>
    <row r="4" spans="1:12" ht="48" customHeight="1">
      <c r="A4" s="14">
        <v>2</v>
      </c>
      <c r="B4" s="15" t="s">
        <v>55</v>
      </c>
      <c r="C4" s="15" t="s">
        <v>51</v>
      </c>
      <c r="D4" s="42"/>
      <c r="E4" s="16" t="s">
        <v>53</v>
      </c>
      <c r="F4" s="15" t="s">
        <v>34</v>
      </c>
      <c r="G4" s="15" t="s">
        <v>33</v>
      </c>
      <c r="H4" s="17">
        <v>3.4833333333333329</v>
      </c>
      <c r="I4" s="18">
        <f>VLOOKUP(G4,CongLaoDong!$B$8:$F$12,5,0)</f>
        <v>1138500</v>
      </c>
      <c r="J4" s="18">
        <f>H4*I4</f>
        <v>3965774.9999999995</v>
      </c>
    </row>
    <row r="5" spans="1:12" ht="48" customHeight="1">
      <c r="A5" s="14">
        <v>3</v>
      </c>
      <c r="B5" s="15" t="s">
        <v>56</v>
      </c>
      <c r="C5" s="15" t="s">
        <v>51</v>
      </c>
      <c r="D5" s="42"/>
      <c r="E5" s="16" t="s">
        <v>53</v>
      </c>
      <c r="F5" s="15" t="s">
        <v>34</v>
      </c>
      <c r="G5" s="15" t="s">
        <v>37</v>
      </c>
      <c r="H5" s="17">
        <v>4.4000000000000004</v>
      </c>
      <c r="I5" s="18">
        <f>VLOOKUP(G5,CongLaoDong!$B$8:$F$12,5,0)</f>
        <v>1138500</v>
      </c>
      <c r="J5" s="18">
        <f>H5*I5</f>
        <v>5009400</v>
      </c>
    </row>
    <row r="6" spans="1:12" ht="48" customHeight="1">
      <c r="A6" s="14">
        <v>4</v>
      </c>
      <c r="B6" s="15" t="s">
        <v>57</v>
      </c>
      <c r="C6" s="15" t="s">
        <v>51</v>
      </c>
      <c r="D6" s="42"/>
      <c r="E6" s="16" t="s">
        <v>53</v>
      </c>
      <c r="F6" s="15" t="s">
        <v>34</v>
      </c>
      <c r="G6" s="15" t="s">
        <v>36</v>
      </c>
      <c r="H6" s="17">
        <v>2.3833333333333329</v>
      </c>
      <c r="I6" s="18">
        <f>VLOOKUP(G6,CongLaoDong!$B$8:$F$12,5,0)</f>
        <v>1138500</v>
      </c>
      <c r="J6" s="18">
        <f>H6*I6</f>
        <v>2713424.9999999995</v>
      </c>
    </row>
    <row r="7" spans="1:12" ht="48" customHeight="1">
      <c r="A7" s="14">
        <v>5</v>
      </c>
      <c r="B7" s="15" t="s">
        <v>58</v>
      </c>
      <c r="C7" s="15" t="s">
        <v>51</v>
      </c>
      <c r="D7" s="42"/>
      <c r="E7" s="16" t="s">
        <v>59</v>
      </c>
      <c r="F7" s="15" t="s">
        <v>54</v>
      </c>
      <c r="G7" s="15" t="s">
        <v>6</v>
      </c>
      <c r="H7" s="17">
        <v>3.3</v>
      </c>
      <c r="I7" s="18">
        <f>VLOOKUP(G7,CongLaoDong!$B$8:$F$12,5,0)</f>
        <v>1897500</v>
      </c>
      <c r="J7" s="18">
        <f>H7*I7</f>
        <v>6261750</v>
      </c>
    </row>
    <row r="8" spans="1:12" ht="48" customHeight="1">
      <c r="A8" s="14">
        <v>6</v>
      </c>
      <c r="B8" s="15" t="s">
        <v>60</v>
      </c>
      <c r="C8" s="15" t="s">
        <v>51</v>
      </c>
      <c r="D8" s="42"/>
      <c r="E8" s="16" t="s">
        <v>61</v>
      </c>
      <c r="F8" s="15" t="s">
        <v>54</v>
      </c>
      <c r="G8" s="15" t="s">
        <v>6</v>
      </c>
      <c r="H8" s="17">
        <v>3.3</v>
      </c>
      <c r="I8" s="18">
        <f>VLOOKUP(G8,CongLaoDong!$B$8:$F$12,5,0)</f>
        <v>1897500</v>
      </c>
      <c r="J8" s="18">
        <f>H8*I8</f>
        <v>6261750</v>
      </c>
    </row>
    <row r="9" spans="1:12" ht="48" customHeight="1">
      <c r="A9" s="14">
        <v>7</v>
      </c>
      <c r="B9" s="15" t="s">
        <v>62</v>
      </c>
      <c r="C9" s="15" t="s">
        <v>51</v>
      </c>
      <c r="D9" s="42"/>
      <c r="E9" s="16" t="s">
        <v>63</v>
      </c>
      <c r="F9" s="15" t="s">
        <v>34</v>
      </c>
      <c r="G9" s="15" t="s">
        <v>33</v>
      </c>
      <c r="H9" s="17">
        <v>4.5833333333333339</v>
      </c>
      <c r="I9" s="18">
        <f>VLOOKUP(G9,CongLaoDong!$B$8:$F$12,5,0)</f>
        <v>1138500</v>
      </c>
      <c r="J9" s="18">
        <f>H9*I9</f>
        <v>5218125.0000000009</v>
      </c>
    </row>
    <row r="10" spans="1:12" ht="48" customHeight="1">
      <c r="A10" s="14">
        <v>8</v>
      </c>
      <c r="B10" s="15" t="s">
        <v>64</v>
      </c>
      <c r="C10" s="15" t="s">
        <v>51</v>
      </c>
      <c r="D10" s="43"/>
      <c r="E10" s="16" t="s">
        <v>65</v>
      </c>
      <c r="F10" s="15" t="s">
        <v>54</v>
      </c>
      <c r="G10" s="15" t="s">
        <v>6</v>
      </c>
      <c r="H10" s="17">
        <v>2.2000000000000002</v>
      </c>
      <c r="I10" s="18">
        <f>VLOOKUP(G10,CongLaoDong!$B$8:$F$12,5,0)</f>
        <v>1897500</v>
      </c>
      <c r="J10" s="18">
        <f>H10*I10</f>
        <v>4174500.0000000005</v>
      </c>
    </row>
    <row r="11" spans="1:12" ht="21.95" customHeight="1">
      <c r="A11" s="36" t="s">
        <v>66</v>
      </c>
      <c r="B11" s="41"/>
      <c r="C11" s="41"/>
      <c r="D11" s="41"/>
      <c r="E11" s="41"/>
      <c r="F11" s="41"/>
      <c r="G11" s="41"/>
      <c r="H11" s="41"/>
      <c r="I11" s="41"/>
      <c r="J11" s="41"/>
    </row>
    <row r="12" spans="1:12" ht="48" customHeight="1">
      <c r="A12" s="14">
        <v>9</v>
      </c>
      <c r="B12" s="15" t="s">
        <v>67</v>
      </c>
      <c r="C12" s="15" t="s">
        <v>68</v>
      </c>
      <c r="D12" s="34" t="s">
        <v>69</v>
      </c>
      <c r="E12" s="16" t="s">
        <v>70</v>
      </c>
      <c r="F12" s="15" t="s">
        <v>54</v>
      </c>
      <c r="G12" s="15" t="s">
        <v>6</v>
      </c>
      <c r="H12" s="17">
        <v>2.2000000000000002</v>
      </c>
      <c r="I12" s="18">
        <f>VLOOKUP(G12,CongLaoDong!$B$8:$F$12,5,0)</f>
        <v>1897500</v>
      </c>
      <c r="J12" s="18">
        <f>H12*I12</f>
        <v>4174500.0000000005</v>
      </c>
    </row>
    <row r="13" spans="1:12" ht="48" customHeight="1">
      <c r="A13" s="14">
        <v>10</v>
      </c>
      <c r="B13" s="15" t="s">
        <v>71</v>
      </c>
      <c r="C13" s="15" t="s">
        <v>68</v>
      </c>
      <c r="D13" s="42"/>
      <c r="E13" s="16" t="s">
        <v>72</v>
      </c>
      <c r="F13" s="15" t="s">
        <v>54</v>
      </c>
      <c r="G13" s="15" t="s">
        <v>6</v>
      </c>
      <c r="H13" s="17">
        <v>3.3</v>
      </c>
      <c r="I13" s="18">
        <f>VLOOKUP(G13,CongLaoDong!$B$8:$F$12,5,0)</f>
        <v>1897500</v>
      </c>
      <c r="J13" s="18">
        <f>H13*I13</f>
        <v>6261750</v>
      </c>
    </row>
    <row r="14" spans="1:12" ht="48" customHeight="1">
      <c r="A14" s="14">
        <v>11</v>
      </c>
      <c r="B14" s="15" t="s">
        <v>73</v>
      </c>
      <c r="C14" s="15" t="s">
        <v>68</v>
      </c>
      <c r="D14" s="42"/>
      <c r="E14" s="16" t="s">
        <v>74</v>
      </c>
      <c r="F14" s="15" t="s">
        <v>34</v>
      </c>
      <c r="G14" s="15" t="s">
        <v>37</v>
      </c>
      <c r="H14" s="17">
        <v>6.6000000000000014</v>
      </c>
      <c r="I14" s="18">
        <f>VLOOKUP(G14,CongLaoDong!$B$8:$F$12,5,0)</f>
        <v>1138500</v>
      </c>
      <c r="J14" s="18">
        <f>H14*I14</f>
        <v>7514100.0000000019</v>
      </c>
    </row>
    <row r="15" spans="1:12" ht="48" customHeight="1">
      <c r="A15" s="14">
        <v>12</v>
      </c>
      <c r="B15" s="15" t="s">
        <v>75</v>
      </c>
      <c r="C15" s="15" t="s">
        <v>68</v>
      </c>
      <c r="D15" s="42"/>
      <c r="E15" s="16" t="s">
        <v>76</v>
      </c>
      <c r="F15" s="15" t="s">
        <v>54</v>
      </c>
      <c r="G15" s="15" t="s">
        <v>6</v>
      </c>
      <c r="H15" s="17">
        <v>5.5</v>
      </c>
      <c r="I15" s="18">
        <f>VLOOKUP(G15,CongLaoDong!$B$8:$F$12,5,0)</f>
        <v>1897500</v>
      </c>
      <c r="J15" s="18">
        <f>H15*I15</f>
        <v>10436250</v>
      </c>
    </row>
    <row r="16" spans="1:12" ht="48" customHeight="1">
      <c r="A16" s="14">
        <v>13</v>
      </c>
      <c r="B16" s="15" t="s">
        <v>77</v>
      </c>
      <c r="C16" s="15" t="s">
        <v>68</v>
      </c>
      <c r="D16" s="42"/>
      <c r="E16" s="16" t="s">
        <v>78</v>
      </c>
      <c r="F16" s="15" t="s">
        <v>34</v>
      </c>
      <c r="G16" s="15" t="s">
        <v>35</v>
      </c>
      <c r="H16" s="17">
        <v>5.5</v>
      </c>
      <c r="I16" s="18">
        <f>VLOOKUP(G16,CongLaoDong!$B$8:$F$12,5,0)</f>
        <v>1138500</v>
      </c>
      <c r="J16" s="18">
        <f>H16*I16</f>
        <v>6261750</v>
      </c>
    </row>
    <row r="17" spans="1:10" ht="48" customHeight="1">
      <c r="A17" s="14">
        <v>14</v>
      </c>
      <c r="B17" s="15" t="s">
        <v>79</v>
      </c>
      <c r="C17" s="15" t="s">
        <v>68</v>
      </c>
      <c r="D17" s="42"/>
      <c r="E17" s="16" t="s">
        <v>76</v>
      </c>
      <c r="F17" s="15" t="s">
        <v>34</v>
      </c>
      <c r="G17" s="15" t="s">
        <v>36</v>
      </c>
      <c r="H17" s="17">
        <v>4.5833333333333339</v>
      </c>
      <c r="I17" s="18">
        <f>VLOOKUP(G17,CongLaoDong!$B$8:$F$12,5,0)</f>
        <v>1138500</v>
      </c>
      <c r="J17" s="18">
        <f>H17*I17</f>
        <v>5218125.0000000009</v>
      </c>
    </row>
    <row r="18" spans="1:10" ht="48" customHeight="1">
      <c r="A18" s="14">
        <v>15</v>
      </c>
      <c r="B18" s="15" t="s">
        <v>80</v>
      </c>
      <c r="C18" s="15" t="s">
        <v>68</v>
      </c>
      <c r="D18" s="42"/>
      <c r="E18" s="16" t="s">
        <v>78</v>
      </c>
      <c r="F18" s="15" t="s">
        <v>34</v>
      </c>
      <c r="G18" s="15" t="s">
        <v>33</v>
      </c>
      <c r="H18" s="17">
        <v>4.5833333333333339</v>
      </c>
      <c r="I18" s="18">
        <f>VLOOKUP(G18,CongLaoDong!$B$8:$F$12,5,0)</f>
        <v>1138500</v>
      </c>
      <c r="J18" s="18">
        <f>H18*I18</f>
        <v>5218125.0000000009</v>
      </c>
    </row>
    <row r="19" spans="1:10" ht="48" customHeight="1">
      <c r="A19" s="14">
        <v>16</v>
      </c>
      <c r="B19" s="15" t="s">
        <v>81</v>
      </c>
      <c r="C19" s="15" t="s">
        <v>68</v>
      </c>
      <c r="D19" s="42"/>
      <c r="E19" s="16" t="s">
        <v>82</v>
      </c>
      <c r="F19" s="15" t="s">
        <v>34</v>
      </c>
      <c r="G19" s="15" t="s">
        <v>35</v>
      </c>
      <c r="H19" s="17">
        <v>3.3</v>
      </c>
      <c r="I19" s="18">
        <f>VLOOKUP(G19,CongLaoDong!$B$8:$F$12,5,0)</f>
        <v>1138500</v>
      </c>
      <c r="J19" s="18">
        <f>H19*I19</f>
        <v>3757050</v>
      </c>
    </row>
    <row r="20" spans="1:10" ht="48" customHeight="1">
      <c r="A20" s="14">
        <v>17</v>
      </c>
      <c r="B20" s="15" t="s">
        <v>83</v>
      </c>
      <c r="C20" s="15" t="s">
        <v>68</v>
      </c>
      <c r="D20" s="43"/>
      <c r="E20" s="16" t="s">
        <v>84</v>
      </c>
      <c r="F20" s="15" t="s">
        <v>34</v>
      </c>
      <c r="G20" s="15" t="s">
        <v>33</v>
      </c>
      <c r="H20" s="17">
        <v>5.5</v>
      </c>
      <c r="I20" s="18">
        <f>VLOOKUP(G20,CongLaoDong!$B$8:$F$12,5,0)</f>
        <v>1138500</v>
      </c>
      <c r="J20" s="18">
        <f>H20*I20</f>
        <v>6261750</v>
      </c>
    </row>
    <row r="21" spans="1:10" ht="21.95" customHeight="1">
      <c r="A21" s="36" t="s">
        <v>85</v>
      </c>
      <c r="B21" s="41"/>
      <c r="C21" s="41"/>
      <c r="D21" s="41"/>
      <c r="E21" s="41"/>
      <c r="F21" s="41"/>
      <c r="G21" s="41"/>
      <c r="H21" s="41"/>
      <c r="I21" s="41"/>
      <c r="J21" s="41"/>
    </row>
    <row r="22" spans="1:10" ht="48" customHeight="1">
      <c r="A22" s="14">
        <v>18</v>
      </c>
      <c r="B22" s="15" t="s">
        <v>86</v>
      </c>
      <c r="C22" s="15" t="s">
        <v>87</v>
      </c>
      <c r="D22" s="34" t="s">
        <v>88</v>
      </c>
      <c r="E22" s="16" t="s">
        <v>89</v>
      </c>
      <c r="F22" s="15" t="s">
        <v>34</v>
      </c>
      <c r="G22" s="15" t="s">
        <v>37</v>
      </c>
      <c r="H22" s="17">
        <v>4.5833333333333339</v>
      </c>
      <c r="I22" s="18">
        <f>VLOOKUP(G22,CongLaoDong!$B$8:$F$12,5,0)</f>
        <v>1138500</v>
      </c>
      <c r="J22" s="18">
        <f>H22*I22</f>
        <v>5218125.0000000009</v>
      </c>
    </row>
    <row r="23" spans="1:10" ht="48" customHeight="1">
      <c r="A23" s="14">
        <v>19</v>
      </c>
      <c r="B23" s="15" t="s">
        <v>90</v>
      </c>
      <c r="C23" s="15" t="s">
        <v>87</v>
      </c>
      <c r="D23" s="42"/>
      <c r="E23" s="16" t="s">
        <v>91</v>
      </c>
      <c r="F23" s="15" t="s">
        <v>34</v>
      </c>
      <c r="G23" s="15" t="s">
        <v>37</v>
      </c>
      <c r="H23" s="17">
        <v>4.2166666666666668</v>
      </c>
      <c r="I23" s="18">
        <f>VLOOKUP(G23,CongLaoDong!$B$8:$F$12,5,0)</f>
        <v>1138500</v>
      </c>
      <c r="J23" s="18">
        <f>H23*I23</f>
        <v>4800675</v>
      </c>
    </row>
    <row r="24" spans="1:10" ht="48" customHeight="1">
      <c r="A24" s="14">
        <v>20</v>
      </c>
      <c r="B24" s="15" t="s">
        <v>92</v>
      </c>
      <c r="C24" s="15" t="s">
        <v>87</v>
      </c>
      <c r="D24" s="42"/>
      <c r="E24" s="16" t="s">
        <v>93</v>
      </c>
      <c r="F24" s="15" t="s">
        <v>34</v>
      </c>
      <c r="G24" s="15" t="s">
        <v>35</v>
      </c>
      <c r="H24" s="17">
        <v>3.4833333333333329</v>
      </c>
      <c r="I24" s="18">
        <f>VLOOKUP(G24,CongLaoDong!$B$8:$F$12,5,0)</f>
        <v>1138500</v>
      </c>
      <c r="J24" s="18">
        <f>H24*I24</f>
        <v>3965774.9999999995</v>
      </c>
    </row>
    <row r="25" spans="1:10" ht="48" customHeight="1">
      <c r="A25" s="14">
        <v>21</v>
      </c>
      <c r="B25" s="15" t="s">
        <v>94</v>
      </c>
      <c r="C25" s="15" t="s">
        <v>95</v>
      </c>
      <c r="D25" s="42"/>
      <c r="E25" s="16" t="s">
        <v>89</v>
      </c>
      <c r="F25" s="15" t="s">
        <v>34</v>
      </c>
      <c r="G25" s="15" t="s">
        <v>36</v>
      </c>
      <c r="H25" s="17">
        <v>3.3</v>
      </c>
      <c r="I25" s="18">
        <f>VLOOKUP(G25,CongLaoDong!$B$8:$F$12,5,0)</f>
        <v>1138500</v>
      </c>
      <c r="J25" s="18">
        <f>H25*I25</f>
        <v>3757050</v>
      </c>
    </row>
    <row r="26" spans="1:10" ht="48" customHeight="1">
      <c r="A26" s="14">
        <v>22</v>
      </c>
      <c r="B26" s="15" t="s">
        <v>96</v>
      </c>
      <c r="C26" s="15" t="s">
        <v>95</v>
      </c>
      <c r="D26" s="42"/>
      <c r="E26" s="16" t="s">
        <v>97</v>
      </c>
      <c r="F26" s="15" t="s">
        <v>34</v>
      </c>
      <c r="G26" s="15" t="s">
        <v>36</v>
      </c>
      <c r="H26" s="17">
        <v>2.2000000000000002</v>
      </c>
      <c r="I26" s="18">
        <f>VLOOKUP(G26,CongLaoDong!$B$8:$F$12,5,0)</f>
        <v>1138500</v>
      </c>
      <c r="J26" s="18">
        <f>H26*I26</f>
        <v>2504700</v>
      </c>
    </row>
    <row r="27" spans="1:10" ht="48" customHeight="1">
      <c r="A27" s="14">
        <v>23</v>
      </c>
      <c r="B27" s="15" t="s">
        <v>98</v>
      </c>
      <c r="C27" s="15" t="s">
        <v>95</v>
      </c>
      <c r="D27" s="42"/>
      <c r="E27" s="16" t="s">
        <v>97</v>
      </c>
      <c r="F27" s="15" t="s">
        <v>34</v>
      </c>
      <c r="G27" s="15" t="s">
        <v>36</v>
      </c>
      <c r="H27" s="17">
        <v>3.3</v>
      </c>
      <c r="I27" s="18">
        <f>VLOOKUP(G27,CongLaoDong!$B$8:$F$12,5,0)</f>
        <v>1138500</v>
      </c>
      <c r="J27" s="18">
        <f>H27*I27</f>
        <v>3757050</v>
      </c>
    </row>
    <row r="28" spans="1:10" ht="48" customHeight="1">
      <c r="A28" s="14">
        <v>24</v>
      </c>
      <c r="B28" s="15" t="s">
        <v>99</v>
      </c>
      <c r="C28" s="15" t="s">
        <v>95</v>
      </c>
      <c r="D28" s="42"/>
      <c r="E28" s="16" t="s">
        <v>97</v>
      </c>
      <c r="F28" s="15" t="s">
        <v>34</v>
      </c>
      <c r="G28" s="15" t="s">
        <v>36</v>
      </c>
      <c r="H28" s="17">
        <v>4.5833333333333339</v>
      </c>
      <c r="I28" s="18">
        <f>VLOOKUP(G28,CongLaoDong!$B$8:$F$12,5,0)</f>
        <v>1138500</v>
      </c>
      <c r="J28" s="18">
        <f>H28*I28</f>
        <v>5218125.0000000009</v>
      </c>
    </row>
    <row r="29" spans="1:10" ht="48" customHeight="1">
      <c r="A29" s="14">
        <v>25</v>
      </c>
      <c r="B29" s="15" t="s">
        <v>100</v>
      </c>
      <c r="C29" s="15" t="s">
        <v>95</v>
      </c>
      <c r="D29" s="43"/>
      <c r="E29" s="16" t="s">
        <v>97</v>
      </c>
      <c r="F29" s="15" t="s">
        <v>54</v>
      </c>
      <c r="G29" s="15" t="s">
        <v>6</v>
      </c>
      <c r="H29" s="17">
        <v>4.2166666666666668</v>
      </c>
      <c r="I29" s="18">
        <f>VLOOKUP(G29,CongLaoDong!$B$8:$F$12,5,0)</f>
        <v>1897500</v>
      </c>
      <c r="J29" s="18">
        <f>H29*I29</f>
        <v>8001125</v>
      </c>
    </row>
    <row r="30" spans="1:10" ht="21.95" customHeight="1">
      <c r="A30" s="36" t="s">
        <v>101</v>
      </c>
      <c r="B30" s="41"/>
      <c r="C30" s="41"/>
      <c r="D30" s="41"/>
      <c r="E30" s="41"/>
      <c r="F30" s="41"/>
      <c r="G30" s="41"/>
      <c r="H30" s="41"/>
      <c r="I30" s="41"/>
      <c r="J30" s="41"/>
    </row>
    <row r="31" spans="1:10" ht="48" customHeight="1">
      <c r="A31" s="14">
        <v>26</v>
      </c>
      <c r="B31" s="15" t="s">
        <v>102</v>
      </c>
      <c r="C31" s="15" t="s">
        <v>103</v>
      </c>
      <c r="D31" s="34" t="s">
        <v>104</v>
      </c>
      <c r="E31" s="16" t="s">
        <v>105</v>
      </c>
      <c r="F31" s="15" t="s">
        <v>34</v>
      </c>
      <c r="G31" s="15" t="s">
        <v>33</v>
      </c>
      <c r="H31" s="17">
        <v>3.3</v>
      </c>
      <c r="I31" s="18">
        <f>VLOOKUP(G31,CongLaoDong!$B$8:$F$12,5,0)</f>
        <v>1138500</v>
      </c>
      <c r="J31" s="18">
        <f>H31*I31</f>
        <v>3757050</v>
      </c>
    </row>
    <row r="32" spans="1:10" ht="48" customHeight="1">
      <c r="A32" s="14">
        <v>27</v>
      </c>
      <c r="B32" s="15" t="s">
        <v>106</v>
      </c>
      <c r="C32" s="15" t="s">
        <v>103</v>
      </c>
      <c r="D32" s="42"/>
      <c r="E32" s="16" t="s">
        <v>107</v>
      </c>
      <c r="F32" s="15" t="s">
        <v>34</v>
      </c>
      <c r="G32" s="15" t="s">
        <v>33</v>
      </c>
      <c r="H32" s="17">
        <v>4.5833333333333339</v>
      </c>
      <c r="I32" s="18">
        <f>VLOOKUP(G32,CongLaoDong!$B$8:$F$12,5,0)</f>
        <v>1138500</v>
      </c>
      <c r="J32" s="18">
        <f>H32*I32</f>
        <v>5218125.0000000009</v>
      </c>
    </row>
    <row r="33" spans="1:10" ht="48" customHeight="1">
      <c r="A33" s="14">
        <v>28</v>
      </c>
      <c r="B33" s="15" t="s">
        <v>108</v>
      </c>
      <c r="C33" s="15" t="s">
        <v>103</v>
      </c>
      <c r="D33" s="42"/>
      <c r="E33" s="16" t="s">
        <v>107</v>
      </c>
      <c r="F33" s="15" t="s">
        <v>34</v>
      </c>
      <c r="G33" s="15" t="s">
        <v>35</v>
      </c>
      <c r="H33" s="17">
        <v>4.5833333333333339</v>
      </c>
      <c r="I33" s="18">
        <f>VLOOKUP(G33,CongLaoDong!$B$8:$F$12,5,0)</f>
        <v>1138500</v>
      </c>
      <c r="J33" s="18">
        <f>H33*I33</f>
        <v>5218125.0000000009</v>
      </c>
    </row>
    <row r="34" spans="1:10" ht="48" customHeight="1">
      <c r="A34" s="14">
        <v>29</v>
      </c>
      <c r="B34" s="15" t="s">
        <v>109</v>
      </c>
      <c r="C34" s="15" t="s">
        <v>103</v>
      </c>
      <c r="D34" s="42"/>
      <c r="E34" s="16" t="s">
        <v>110</v>
      </c>
      <c r="F34" s="15" t="s">
        <v>34</v>
      </c>
      <c r="G34" s="15" t="s">
        <v>35</v>
      </c>
      <c r="H34" s="17">
        <v>5.5</v>
      </c>
      <c r="I34" s="18">
        <f>VLOOKUP(G34,CongLaoDong!$B$8:$F$12,5,0)</f>
        <v>1138500</v>
      </c>
      <c r="J34" s="18">
        <f>H34*I34</f>
        <v>6261750</v>
      </c>
    </row>
    <row r="35" spans="1:10" ht="48" customHeight="1">
      <c r="A35" s="14">
        <v>30</v>
      </c>
      <c r="B35" s="15" t="s">
        <v>111</v>
      </c>
      <c r="C35" s="15" t="s">
        <v>103</v>
      </c>
      <c r="D35" s="42"/>
      <c r="E35" s="16" t="s">
        <v>112</v>
      </c>
      <c r="F35" s="15" t="s">
        <v>34</v>
      </c>
      <c r="G35" s="15" t="s">
        <v>33</v>
      </c>
      <c r="H35" s="17">
        <v>5.8666666666666671</v>
      </c>
      <c r="I35" s="18">
        <f>VLOOKUP(G35,CongLaoDong!$B$8:$F$12,5,0)</f>
        <v>1138500</v>
      </c>
      <c r="J35" s="18">
        <f>H35*I35</f>
        <v>6679200.0000000009</v>
      </c>
    </row>
    <row r="36" spans="1:10" ht="48" customHeight="1">
      <c r="A36" s="14">
        <v>31</v>
      </c>
      <c r="B36" s="15" t="s">
        <v>113</v>
      </c>
      <c r="C36" s="15" t="s">
        <v>103</v>
      </c>
      <c r="D36" s="42"/>
      <c r="E36" s="16" t="s">
        <v>114</v>
      </c>
      <c r="F36" s="15" t="s">
        <v>34</v>
      </c>
      <c r="G36" s="15" t="s">
        <v>35</v>
      </c>
      <c r="H36" s="17">
        <v>4.5833333333333339</v>
      </c>
      <c r="I36" s="18">
        <f>VLOOKUP(G36,CongLaoDong!$B$8:$F$12,5,0)</f>
        <v>1138500</v>
      </c>
      <c r="J36" s="18">
        <f>H36*I36</f>
        <v>5218125.0000000009</v>
      </c>
    </row>
    <row r="37" spans="1:10" ht="48" customHeight="1">
      <c r="A37" s="14">
        <v>32</v>
      </c>
      <c r="B37" s="15" t="s">
        <v>115</v>
      </c>
      <c r="C37" s="15" t="s">
        <v>103</v>
      </c>
      <c r="D37" s="42"/>
      <c r="E37" s="16" t="s">
        <v>114</v>
      </c>
      <c r="F37" s="15" t="s">
        <v>34</v>
      </c>
      <c r="G37" s="15" t="s">
        <v>33</v>
      </c>
      <c r="H37" s="17">
        <v>5.6833333333333336</v>
      </c>
      <c r="I37" s="18">
        <f>VLOOKUP(G37,CongLaoDong!$B$8:$F$12,5,0)</f>
        <v>1138500</v>
      </c>
      <c r="J37" s="18">
        <f>H37*I37</f>
        <v>6470475</v>
      </c>
    </row>
    <row r="38" spans="1:10" ht="48" customHeight="1">
      <c r="A38" s="14">
        <v>33</v>
      </c>
      <c r="B38" s="15" t="s">
        <v>116</v>
      </c>
      <c r="C38" s="15" t="s">
        <v>103</v>
      </c>
      <c r="D38" s="42"/>
      <c r="E38" s="16" t="s">
        <v>117</v>
      </c>
      <c r="F38" s="15" t="s">
        <v>34</v>
      </c>
      <c r="G38" s="15" t="s">
        <v>35</v>
      </c>
      <c r="H38" s="17">
        <v>3.4833333333333329</v>
      </c>
      <c r="I38" s="18">
        <f>VLOOKUP(G38,CongLaoDong!$B$8:$F$12,5,0)</f>
        <v>1138500</v>
      </c>
      <c r="J38" s="18">
        <f>H38*I38</f>
        <v>3965774.9999999995</v>
      </c>
    </row>
    <row r="39" spans="1:10" ht="48" customHeight="1">
      <c r="A39" s="14">
        <v>34</v>
      </c>
      <c r="B39" s="15" t="s">
        <v>118</v>
      </c>
      <c r="C39" s="15" t="s">
        <v>103</v>
      </c>
      <c r="D39" s="42"/>
      <c r="E39" s="16" t="s">
        <v>114</v>
      </c>
      <c r="F39" s="15" t="s">
        <v>34</v>
      </c>
      <c r="G39" s="15" t="s">
        <v>37</v>
      </c>
      <c r="H39" s="17">
        <v>5.6833333333333336</v>
      </c>
      <c r="I39" s="18">
        <f>VLOOKUP(G39,CongLaoDong!$B$8:$F$12,5,0)</f>
        <v>1138500</v>
      </c>
      <c r="J39" s="18">
        <f>H39*I39</f>
        <v>6470475</v>
      </c>
    </row>
    <row r="40" spans="1:10" ht="48" customHeight="1">
      <c r="A40" s="14">
        <v>35</v>
      </c>
      <c r="B40" s="15" t="s">
        <v>119</v>
      </c>
      <c r="C40" s="15" t="s">
        <v>103</v>
      </c>
      <c r="D40" s="42"/>
      <c r="E40" s="16" t="s">
        <v>117</v>
      </c>
      <c r="F40" s="15" t="s">
        <v>34</v>
      </c>
      <c r="G40" s="15" t="s">
        <v>37</v>
      </c>
      <c r="H40" s="17">
        <v>4.5833333333333339</v>
      </c>
      <c r="I40" s="18">
        <f>VLOOKUP(G40,CongLaoDong!$B$8:$F$12,5,0)</f>
        <v>1138500</v>
      </c>
      <c r="J40" s="18">
        <f>H40*I40</f>
        <v>5218125.0000000009</v>
      </c>
    </row>
    <row r="41" spans="1:10" ht="48" customHeight="1">
      <c r="A41" s="14">
        <v>36</v>
      </c>
      <c r="B41" s="15" t="s">
        <v>120</v>
      </c>
      <c r="C41" s="15" t="s">
        <v>103</v>
      </c>
      <c r="D41" s="42"/>
      <c r="E41" s="16" t="s">
        <v>121</v>
      </c>
      <c r="F41" s="15" t="s">
        <v>34</v>
      </c>
      <c r="G41" s="15" t="s">
        <v>37</v>
      </c>
      <c r="H41" s="17">
        <v>2.2000000000000002</v>
      </c>
      <c r="I41" s="18">
        <f>VLOOKUP(G41,CongLaoDong!$B$8:$F$12,5,0)</f>
        <v>1138500</v>
      </c>
      <c r="J41" s="18">
        <f>H41*I41</f>
        <v>2504700</v>
      </c>
    </row>
    <row r="42" spans="1:10" ht="48" customHeight="1">
      <c r="A42" s="14">
        <v>37</v>
      </c>
      <c r="B42" s="15" t="s">
        <v>122</v>
      </c>
      <c r="C42" s="15" t="s">
        <v>103</v>
      </c>
      <c r="D42" s="42"/>
      <c r="E42" s="16" t="s">
        <v>114</v>
      </c>
      <c r="F42" s="15" t="s">
        <v>34</v>
      </c>
      <c r="G42" s="15" t="s">
        <v>36</v>
      </c>
      <c r="H42" s="17">
        <v>4.5833333333333339</v>
      </c>
      <c r="I42" s="18">
        <f>VLOOKUP(G42,CongLaoDong!$B$8:$F$12,5,0)</f>
        <v>1138500</v>
      </c>
      <c r="J42" s="18">
        <f>H42*I42</f>
        <v>5218125.0000000009</v>
      </c>
    </row>
    <row r="43" spans="1:10" ht="48" customHeight="1">
      <c r="A43" s="14">
        <v>38</v>
      </c>
      <c r="B43" s="15" t="s">
        <v>123</v>
      </c>
      <c r="C43" s="15" t="s">
        <v>103</v>
      </c>
      <c r="D43" s="42"/>
      <c r="E43" s="16" t="s">
        <v>124</v>
      </c>
      <c r="F43" s="15" t="s">
        <v>54</v>
      </c>
      <c r="G43" s="15" t="s">
        <v>6</v>
      </c>
      <c r="H43" s="17">
        <v>5.6833333333333336</v>
      </c>
      <c r="I43" s="18">
        <f>VLOOKUP(G43,CongLaoDong!$B$8:$F$12,5,0)</f>
        <v>1897500</v>
      </c>
      <c r="J43" s="18">
        <f>H43*I43</f>
        <v>10784125</v>
      </c>
    </row>
    <row r="44" spans="1:10" ht="48" customHeight="1">
      <c r="A44" s="14">
        <v>39</v>
      </c>
      <c r="B44" s="15" t="s">
        <v>125</v>
      </c>
      <c r="C44" s="15" t="s">
        <v>103</v>
      </c>
      <c r="D44" s="43"/>
      <c r="E44" s="16" t="s">
        <v>126</v>
      </c>
      <c r="F44" s="15" t="s">
        <v>34</v>
      </c>
      <c r="G44" s="15" t="s">
        <v>36</v>
      </c>
      <c r="H44" s="17">
        <v>8.9833333333333343</v>
      </c>
      <c r="I44" s="18">
        <f>VLOOKUP(G44,CongLaoDong!$B$8:$F$12,5,0)</f>
        <v>1138500</v>
      </c>
      <c r="J44" s="18">
        <f>H44*I44</f>
        <v>10227525.000000002</v>
      </c>
    </row>
    <row r="45" spans="1:10" ht="21.95" customHeight="1">
      <c r="A45" s="36" t="s">
        <v>127</v>
      </c>
      <c r="B45" s="41"/>
      <c r="C45" s="41"/>
      <c r="D45" s="41"/>
      <c r="E45" s="41"/>
      <c r="F45" s="41"/>
      <c r="G45" s="41"/>
      <c r="H45" s="41"/>
      <c r="I45" s="41"/>
      <c r="J45" s="41"/>
    </row>
    <row r="46" spans="1:10" ht="48" customHeight="1">
      <c r="A46" s="14">
        <v>40</v>
      </c>
      <c r="B46" s="15" t="s">
        <v>128</v>
      </c>
      <c r="C46" s="15" t="s">
        <v>129</v>
      </c>
      <c r="D46" s="34" t="s">
        <v>130</v>
      </c>
      <c r="E46" s="16" t="s">
        <v>131</v>
      </c>
      <c r="F46" s="15" t="s">
        <v>34</v>
      </c>
      <c r="G46" s="15" t="s">
        <v>33</v>
      </c>
      <c r="H46" s="17">
        <v>4.5833333333333339</v>
      </c>
      <c r="I46" s="18">
        <f>VLOOKUP(G46,CongLaoDong!$B$8:$F$12,5,0)</f>
        <v>1138500</v>
      </c>
      <c r="J46" s="18">
        <f>H46*I46</f>
        <v>5218125.0000000009</v>
      </c>
    </row>
    <row r="47" spans="1:10" ht="48" customHeight="1">
      <c r="A47" s="14">
        <v>41</v>
      </c>
      <c r="B47" s="15" t="s">
        <v>132</v>
      </c>
      <c r="C47" s="15" t="s">
        <v>129</v>
      </c>
      <c r="D47" s="42"/>
      <c r="E47" s="16" t="s">
        <v>133</v>
      </c>
      <c r="F47" s="15" t="s">
        <v>34</v>
      </c>
      <c r="G47" s="15" t="s">
        <v>36</v>
      </c>
      <c r="H47" s="17">
        <v>3.3</v>
      </c>
      <c r="I47" s="18">
        <f>VLOOKUP(G47,CongLaoDong!$B$8:$F$12,5,0)</f>
        <v>1138500</v>
      </c>
      <c r="J47" s="18">
        <f>H47*I47</f>
        <v>3757050</v>
      </c>
    </row>
    <row r="48" spans="1:10" ht="48" customHeight="1">
      <c r="A48" s="14">
        <v>42</v>
      </c>
      <c r="B48" s="15" t="s">
        <v>134</v>
      </c>
      <c r="C48" s="15" t="s">
        <v>129</v>
      </c>
      <c r="D48" s="42"/>
      <c r="E48" s="16" t="s">
        <v>133</v>
      </c>
      <c r="F48" s="15" t="s">
        <v>34</v>
      </c>
      <c r="G48" s="15" t="s">
        <v>37</v>
      </c>
      <c r="H48" s="17">
        <v>4.5833333333333339</v>
      </c>
      <c r="I48" s="18">
        <f>VLOOKUP(G48,CongLaoDong!$B$8:$F$12,5,0)</f>
        <v>1138500</v>
      </c>
      <c r="J48" s="18">
        <f>H48*I48</f>
        <v>5218125.0000000009</v>
      </c>
    </row>
    <row r="49" spans="1:10" ht="48" customHeight="1">
      <c r="A49" s="14">
        <v>43</v>
      </c>
      <c r="B49" s="15" t="s">
        <v>135</v>
      </c>
      <c r="C49" s="15" t="s">
        <v>129</v>
      </c>
      <c r="D49" s="42"/>
      <c r="E49" s="16" t="s">
        <v>133</v>
      </c>
      <c r="F49" s="15" t="s">
        <v>34</v>
      </c>
      <c r="G49" s="15" t="s">
        <v>35</v>
      </c>
      <c r="H49" s="17">
        <v>3.4833333333333329</v>
      </c>
      <c r="I49" s="18">
        <f>VLOOKUP(G49,CongLaoDong!$B$8:$F$12,5,0)</f>
        <v>1138500</v>
      </c>
      <c r="J49" s="18">
        <f>H49*I49</f>
        <v>3965774.9999999995</v>
      </c>
    </row>
    <row r="50" spans="1:10" ht="48" customHeight="1">
      <c r="A50" s="14">
        <v>44</v>
      </c>
      <c r="B50" s="15" t="s">
        <v>136</v>
      </c>
      <c r="C50" s="15" t="s">
        <v>129</v>
      </c>
      <c r="D50" s="42"/>
      <c r="E50" s="16" t="s">
        <v>133</v>
      </c>
      <c r="F50" s="15" t="s">
        <v>54</v>
      </c>
      <c r="G50" s="15" t="s">
        <v>6</v>
      </c>
      <c r="H50" s="17">
        <v>3.3</v>
      </c>
      <c r="I50" s="18">
        <f>VLOOKUP(G50,CongLaoDong!$B$8:$F$12,5,0)</f>
        <v>1897500</v>
      </c>
      <c r="J50" s="18">
        <f>H50*I50</f>
        <v>6261750</v>
      </c>
    </row>
    <row r="51" spans="1:10" ht="48" customHeight="1">
      <c r="A51" s="14">
        <v>45</v>
      </c>
      <c r="B51" s="15" t="s">
        <v>137</v>
      </c>
      <c r="C51" s="15" t="s">
        <v>129</v>
      </c>
      <c r="D51" s="42"/>
      <c r="E51" s="16" t="s">
        <v>133</v>
      </c>
      <c r="F51" s="15" t="s">
        <v>34</v>
      </c>
      <c r="G51" s="15" t="s">
        <v>37</v>
      </c>
      <c r="H51" s="17">
        <v>3.4833333333333329</v>
      </c>
      <c r="I51" s="18">
        <f>VLOOKUP(G51,CongLaoDong!$B$8:$F$12,5,0)</f>
        <v>1138500</v>
      </c>
      <c r="J51" s="18">
        <f>H51*I51</f>
        <v>3965774.9999999995</v>
      </c>
    </row>
    <row r="52" spans="1:10" ht="48" customHeight="1">
      <c r="A52" s="14">
        <v>46</v>
      </c>
      <c r="B52" s="15" t="s">
        <v>138</v>
      </c>
      <c r="C52" s="15" t="s">
        <v>129</v>
      </c>
      <c r="D52" s="42"/>
      <c r="E52" s="16" t="s">
        <v>139</v>
      </c>
      <c r="F52" s="15" t="s">
        <v>54</v>
      </c>
      <c r="G52" s="15" t="s">
        <v>6</v>
      </c>
      <c r="H52" s="17">
        <v>4.5833333333333339</v>
      </c>
      <c r="I52" s="18">
        <f>VLOOKUP(G52,CongLaoDong!$B$8:$F$12,5,0)</f>
        <v>1897500</v>
      </c>
      <c r="J52" s="18">
        <f>H52*I52</f>
        <v>8696875.0000000019</v>
      </c>
    </row>
    <row r="53" spans="1:10" ht="21.95" customHeight="1">
      <c r="A53" s="37">
        <v>47</v>
      </c>
      <c r="B53" s="33" t="s">
        <v>140</v>
      </c>
      <c r="C53" s="33" t="s">
        <v>129</v>
      </c>
      <c r="D53" s="42"/>
      <c r="E53" s="34" t="s">
        <v>141</v>
      </c>
      <c r="F53" s="15" t="s">
        <v>34</v>
      </c>
      <c r="G53" s="15" t="s">
        <v>33</v>
      </c>
      <c r="H53" s="17">
        <v>4.5833333333333339</v>
      </c>
      <c r="I53" s="18">
        <f>VLOOKUP(G53,CongLaoDong!$B$8:$F$12,5,0)</f>
        <v>1138500</v>
      </c>
      <c r="J53" s="18">
        <f>H53*I53</f>
        <v>5218125.0000000009</v>
      </c>
    </row>
    <row r="54" spans="1:10" ht="21.95" customHeight="1">
      <c r="A54" s="42"/>
      <c r="B54" s="42"/>
      <c r="C54" s="42"/>
      <c r="D54" s="42"/>
      <c r="E54" s="42"/>
      <c r="F54" s="15" t="s">
        <v>34</v>
      </c>
      <c r="G54" s="15" t="s">
        <v>35</v>
      </c>
      <c r="H54" s="17">
        <v>4.5833333333333339</v>
      </c>
      <c r="I54" s="18">
        <f>VLOOKUP(G54,CongLaoDong!$B$8:$F$12,5,0)</f>
        <v>1138500</v>
      </c>
      <c r="J54" s="18">
        <f>H54*I54</f>
        <v>5218125.0000000009</v>
      </c>
    </row>
    <row r="55" spans="1:10" ht="21.95" customHeight="1">
      <c r="A55" s="43"/>
      <c r="B55" s="43"/>
      <c r="C55" s="43"/>
      <c r="D55" s="43"/>
      <c r="E55" s="43"/>
      <c r="F55" s="15" t="s">
        <v>34</v>
      </c>
      <c r="G55" s="15" t="s">
        <v>36</v>
      </c>
      <c r="H55" s="17">
        <v>4.5833333333333339</v>
      </c>
      <c r="I55" s="18">
        <f>VLOOKUP(G55,CongLaoDong!$B$8:$F$12,5,0)</f>
        <v>1138500</v>
      </c>
      <c r="J55" s="18">
        <f>H55*I55</f>
        <v>5218125.0000000009</v>
      </c>
    </row>
    <row r="56" spans="1:10" ht="21.95" customHeight="1">
      <c r="A56" s="36" t="s">
        <v>142</v>
      </c>
      <c r="B56" s="41"/>
      <c r="C56" s="41"/>
      <c r="D56" s="41"/>
      <c r="E56" s="41"/>
      <c r="F56" s="41"/>
      <c r="G56" s="41"/>
      <c r="H56" s="41"/>
      <c r="I56" s="41"/>
      <c r="J56" s="41"/>
    </row>
    <row r="57" spans="1:10" ht="48" customHeight="1">
      <c r="A57" s="14">
        <v>48</v>
      </c>
      <c r="B57" s="15" t="s">
        <v>143</v>
      </c>
      <c r="C57" s="15" t="s">
        <v>144</v>
      </c>
      <c r="D57" s="34" t="s">
        <v>145</v>
      </c>
      <c r="E57" s="16" t="s">
        <v>146</v>
      </c>
      <c r="F57" s="15" t="s">
        <v>34</v>
      </c>
      <c r="G57" s="15" t="s">
        <v>33</v>
      </c>
      <c r="H57" s="17">
        <v>2.2000000000000002</v>
      </c>
      <c r="I57" s="18">
        <f>VLOOKUP(G57,CongLaoDong!$B$8:$F$12,5,0)</f>
        <v>1138500</v>
      </c>
      <c r="J57" s="18">
        <f>H57*I57</f>
        <v>2504700</v>
      </c>
    </row>
    <row r="58" spans="1:10" ht="48" customHeight="1">
      <c r="A58" s="14">
        <v>49</v>
      </c>
      <c r="B58" s="15" t="s">
        <v>147</v>
      </c>
      <c r="C58" s="15" t="s">
        <v>148</v>
      </c>
      <c r="D58" s="42"/>
      <c r="E58" s="16" t="s">
        <v>149</v>
      </c>
      <c r="F58" s="15" t="s">
        <v>34</v>
      </c>
      <c r="G58" s="15" t="s">
        <v>35</v>
      </c>
      <c r="H58" s="17">
        <v>3.4833333333333329</v>
      </c>
      <c r="I58" s="18">
        <f>VLOOKUP(G58,CongLaoDong!$B$8:$F$12,5,0)</f>
        <v>1138500</v>
      </c>
      <c r="J58" s="18">
        <f>H58*I58</f>
        <v>3965774.9999999995</v>
      </c>
    </row>
    <row r="59" spans="1:10" ht="48" customHeight="1">
      <c r="A59" s="14">
        <v>50</v>
      </c>
      <c r="B59" s="15" t="s">
        <v>150</v>
      </c>
      <c r="C59" s="15" t="s">
        <v>151</v>
      </c>
      <c r="D59" s="42"/>
      <c r="E59" s="16" t="s">
        <v>149</v>
      </c>
      <c r="F59" s="15" t="s">
        <v>34</v>
      </c>
      <c r="G59" s="15" t="s">
        <v>37</v>
      </c>
      <c r="H59" s="17">
        <v>3.3</v>
      </c>
      <c r="I59" s="18">
        <f>VLOOKUP(G59,CongLaoDong!$B$8:$F$12,5,0)</f>
        <v>1138500</v>
      </c>
      <c r="J59" s="18">
        <f>H59*I59</f>
        <v>3757050</v>
      </c>
    </row>
    <row r="60" spans="1:10" ht="48" customHeight="1">
      <c r="A60" s="14">
        <v>51</v>
      </c>
      <c r="B60" s="15" t="s">
        <v>152</v>
      </c>
      <c r="C60" s="15" t="s">
        <v>153</v>
      </c>
      <c r="D60" s="42"/>
      <c r="E60" s="16" t="s">
        <v>154</v>
      </c>
      <c r="F60" s="15" t="s">
        <v>54</v>
      </c>
      <c r="G60" s="15" t="s">
        <v>6</v>
      </c>
      <c r="H60" s="17">
        <v>2.2000000000000002</v>
      </c>
      <c r="I60" s="18">
        <f>VLOOKUP(G60,CongLaoDong!$B$8:$F$12,5,0)</f>
        <v>1897500</v>
      </c>
      <c r="J60" s="18">
        <f>H60*I60</f>
        <v>4174500.0000000005</v>
      </c>
    </row>
    <row r="61" spans="1:10" ht="48" customHeight="1">
      <c r="A61" s="14">
        <v>52</v>
      </c>
      <c r="B61" s="15" t="s">
        <v>155</v>
      </c>
      <c r="C61" s="15" t="s">
        <v>156</v>
      </c>
      <c r="D61" s="43"/>
      <c r="E61" s="16" t="s">
        <v>157</v>
      </c>
      <c r="F61" s="15" t="s">
        <v>34</v>
      </c>
      <c r="G61" s="15" t="s">
        <v>36</v>
      </c>
      <c r="H61" s="17">
        <v>2.2000000000000002</v>
      </c>
      <c r="I61" s="18">
        <f>VLOOKUP(G61,CongLaoDong!$B$8:$F$12,5,0)</f>
        <v>1138500</v>
      </c>
      <c r="J61" s="18">
        <f>H61*I61</f>
        <v>2504700</v>
      </c>
    </row>
    <row r="62" spans="1:10">
      <c r="A62" s="35" t="s">
        <v>19</v>
      </c>
      <c r="B62" s="41"/>
      <c r="C62" s="41"/>
      <c r="D62" s="41"/>
      <c r="E62" s="41"/>
      <c r="F62" s="41"/>
      <c r="G62" s="41"/>
      <c r="H62" s="19">
        <f>SUM(H2:H61)</f>
        <v>221.83333333333334</v>
      </c>
      <c r="J62" s="20">
        <f>SUM(J2:J61)</f>
        <v>285396650</v>
      </c>
    </row>
  </sheetData>
  <mergeCells count="17">
    <mergeCell ref="A2:J2"/>
    <mergeCell ref="D31:D44"/>
    <mergeCell ref="A11:J11"/>
    <mergeCell ref="A56:J56"/>
    <mergeCell ref="D12:D20"/>
    <mergeCell ref="A21:J21"/>
    <mergeCell ref="A30:J30"/>
    <mergeCell ref="D22:D29"/>
    <mergeCell ref="B53:B55"/>
    <mergeCell ref="A45:J45"/>
    <mergeCell ref="A53:A55"/>
    <mergeCell ref="C53:C55"/>
    <mergeCell ref="E53:E55"/>
    <mergeCell ref="A62:G62"/>
    <mergeCell ref="D3:D10"/>
    <mergeCell ref="D46:D55"/>
    <mergeCell ref="D57:D6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tabSelected="1" workbookViewId="0">
      <selection activeCell="F6" sqref="F6"/>
    </sheetView>
  </sheetViews>
  <sheetFormatPr defaultRowHeight="15"/>
  <cols>
    <col min="1" max="1" width="8" customWidth="1"/>
    <col min="2" max="2" width="60" customWidth="1"/>
    <col min="3" max="3" width="16" customWidth="1"/>
    <col min="4" max="4" width="12" customWidth="1"/>
    <col min="5" max="5" width="16" customWidth="1"/>
    <col min="6" max="6" width="18" customWidth="1"/>
  </cols>
  <sheetData>
    <row r="1" spans="1:6" ht="36" customHeight="1">
      <c r="A1" s="30" t="s">
        <v>158</v>
      </c>
      <c r="B1" s="41"/>
      <c r="C1" s="41"/>
      <c r="D1" s="41"/>
      <c r="E1" s="41"/>
      <c r="F1" s="41"/>
    </row>
    <row r="2" spans="1:6">
      <c r="A2" s="1" t="s">
        <v>1</v>
      </c>
      <c r="B2" s="2" t="s">
        <v>2</v>
      </c>
    </row>
    <row r="3" spans="1:6">
      <c r="A3" s="1" t="s">
        <v>3</v>
      </c>
      <c r="B3" s="2" t="s">
        <v>4</v>
      </c>
    </row>
    <row r="4" spans="1:6">
      <c r="A4" s="1" t="s">
        <v>5</v>
      </c>
      <c r="B4" s="2" t="s">
        <v>6</v>
      </c>
    </row>
    <row r="5" spans="1:6">
      <c r="A5" s="21" t="s">
        <v>159</v>
      </c>
    </row>
    <row r="7" spans="1:6" ht="32.1" customHeight="1">
      <c r="A7" s="3" t="s">
        <v>39</v>
      </c>
      <c r="B7" s="3" t="s">
        <v>160</v>
      </c>
      <c r="C7" s="3" t="s">
        <v>161</v>
      </c>
      <c r="D7" s="3" t="s">
        <v>162</v>
      </c>
      <c r="E7" s="3" t="s">
        <v>163</v>
      </c>
      <c r="F7" s="3" t="s">
        <v>164</v>
      </c>
    </row>
    <row r="8" spans="1:6">
      <c r="A8" s="7" t="s">
        <v>165</v>
      </c>
      <c r="B8" s="29" t="s">
        <v>166</v>
      </c>
      <c r="C8" s="29"/>
      <c r="D8" s="29"/>
      <c r="E8" s="29"/>
      <c r="F8" s="29"/>
    </row>
    <row r="9" spans="1:6" ht="30.75">
      <c r="A9" s="4">
        <v>1</v>
      </c>
      <c r="B9" s="5" t="s">
        <v>167</v>
      </c>
      <c r="C9" s="4" t="s">
        <v>168</v>
      </c>
      <c r="D9" s="4">
        <v>2</v>
      </c>
      <c r="E9" s="25">
        <v>2000000</v>
      </c>
      <c r="F9" s="25">
        <f>D9*E9</f>
        <v>4000000</v>
      </c>
    </row>
    <row r="10" spans="1:6">
      <c r="A10" s="7" t="s">
        <v>169</v>
      </c>
      <c r="B10" s="29" t="s">
        <v>170</v>
      </c>
      <c r="C10" s="29"/>
      <c r="D10" s="29"/>
      <c r="E10" s="29"/>
      <c r="F10" s="29"/>
    </row>
    <row r="11" spans="1:6">
      <c r="A11" s="4">
        <v>1</v>
      </c>
      <c r="B11" s="5" t="s">
        <v>171</v>
      </c>
      <c r="C11" s="4" t="s">
        <v>172</v>
      </c>
      <c r="D11" s="4">
        <v>10</v>
      </c>
      <c r="E11" s="25">
        <v>1500000</v>
      </c>
      <c r="F11" s="25">
        <f>D11*E11</f>
        <v>15000000</v>
      </c>
    </row>
    <row r="12" spans="1:6">
      <c r="A12" s="7" t="s">
        <v>173</v>
      </c>
      <c r="B12" s="29" t="s">
        <v>174</v>
      </c>
      <c r="C12" s="29"/>
      <c r="D12" s="29"/>
      <c r="E12" s="29"/>
      <c r="F12" s="29"/>
    </row>
    <row r="13" spans="1:6">
      <c r="A13" s="4">
        <v>1</v>
      </c>
      <c r="B13" s="5" t="s">
        <v>175</v>
      </c>
      <c r="C13" s="4" t="s">
        <v>172</v>
      </c>
      <c r="D13" s="4">
        <v>5</v>
      </c>
      <c r="E13" s="25">
        <v>1500000</v>
      </c>
      <c r="F13" s="25">
        <f>D13*E13</f>
        <v>7500000</v>
      </c>
    </row>
    <row r="14" spans="1:6" ht="30.75">
      <c r="A14" s="4">
        <v>2</v>
      </c>
      <c r="B14" s="5" t="s">
        <v>176</v>
      </c>
      <c r="C14" s="4" t="s">
        <v>177</v>
      </c>
      <c r="D14" s="4">
        <v>4</v>
      </c>
      <c r="E14" s="25">
        <v>400000</v>
      </c>
      <c r="F14" s="25">
        <f>D14*E14</f>
        <v>1600000</v>
      </c>
    </row>
    <row r="15" spans="1:6">
      <c r="A15" s="7" t="s">
        <v>178</v>
      </c>
      <c r="B15" s="29" t="s">
        <v>179</v>
      </c>
      <c r="C15" s="29"/>
      <c r="D15" s="29"/>
      <c r="E15" s="29"/>
      <c r="F15" s="29"/>
    </row>
    <row r="16" spans="1:6">
      <c r="A16" s="4">
        <v>1</v>
      </c>
      <c r="B16" s="5" t="s">
        <v>171</v>
      </c>
      <c r="C16" s="4" t="s">
        <v>172</v>
      </c>
      <c r="D16" s="4">
        <v>10</v>
      </c>
      <c r="E16" s="25">
        <v>1500000</v>
      </c>
      <c r="F16" s="25">
        <f>D16*E16</f>
        <v>15000000</v>
      </c>
    </row>
    <row r="17" spans="1:6">
      <c r="A17" s="4">
        <v>2</v>
      </c>
      <c r="B17" s="5" t="s">
        <v>180</v>
      </c>
      <c r="C17" s="4" t="s">
        <v>181</v>
      </c>
      <c r="D17" s="4">
        <v>2</v>
      </c>
      <c r="E17" s="25">
        <v>1800000</v>
      </c>
      <c r="F17" s="25">
        <f>D17*E17</f>
        <v>3600000</v>
      </c>
    </row>
    <row r="18" spans="1:6" ht="30.75">
      <c r="A18" s="4">
        <v>3</v>
      </c>
      <c r="B18" s="5" t="s">
        <v>182</v>
      </c>
      <c r="C18" s="4" t="s">
        <v>183</v>
      </c>
      <c r="D18" s="4">
        <v>2</v>
      </c>
      <c r="E18" s="25">
        <v>1200000</v>
      </c>
      <c r="F18" s="25">
        <f>D18*E18</f>
        <v>2400000</v>
      </c>
    </row>
    <row r="19" spans="1:6">
      <c r="A19" s="7" t="s">
        <v>184</v>
      </c>
      <c r="B19" s="29" t="s">
        <v>185</v>
      </c>
      <c r="C19" s="29"/>
      <c r="D19" s="29"/>
      <c r="E19" s="29"/>
      <c r="F19" s="29"/>
    </row>
    <row r="20" spans="1:6">
      <c r="A20" s="4">
        <v>1</v>
      </c>
      <c r="B20" s="5" t="s">
        <v>175</v>
      </c>
      <c r="C20" s="4" t="s">
        <v>172</v>
      </c>
      <c r="D20" s="4">
        <v>5</v>
      </c>
      <c r="E20" s="25">
        <v>1500000</v>
      </c>
      <c r="F20" s="25">
        <f>D20*E20</f>
        <v>7500000</v>
      </c>
    </row>
    <row r="21" spans="1:6" ht="30.75">
      <c r="A21" s="4">
        <v>2</v>
      </c>
      <c r="B21" s="5" t="s">
        <v>186</v>
      </c>
      <c r="C21" s="4" t="s">
        <v>181</v>
      </c>
      <c r="D21" s="4">
        <v>1</v>
      </c>
      <c r="E21" s="25">
        <v>2500000</v>
      </c>
      <c r="F21" s="25">
        <f>D21*E21</f>
        <v>2500000</v>
      </c>
    </row>
    <row r="22" spans="1:6">
      <c r="A22" s="4">
        <v>3</v>
      </c>
      <c r="B22" s="5" t="s">
        <v>187</v>
      </c>
      <c r="C22" s="4" t="s">
        <v>183</v>
      </c>
      <c r="D22" s="4">
        <v>2</v>
      </c>
      <c r="E22" s="25">
        <v>800000</v>
      </c>
      <c r="F22" s="25">
        <f>D22*E22</f>
        <v>1600000</v>
      </c>
    </row>
    <row r="23" spans="1:6">
      <c r="A23" s="7" t="s">
        <v>188</v>
      </c>
      <c r="B23" s="29" t="s">
        <v>189</v>
      </c>
      <c r="C23" s="29"/>
      <c r="D23" s="29"/>
      <c r="E23" s="29"/>
      <c r="F23" s="29"/>
    </row>
    <row r="24" spans="1:6">
      <c r="A24" s="4">
        <v>1</v>
      </c>
      <c r="B24" s="5" t="s">
        <v>190</v>
      </c>
      <c r="C24" s="4" t="s">
        <v>168</v>
      </c>
      <c r="D24" s="4">
        <v>5</v>
      </c>
      <c r="E24" s="25">
        <v>750000</v>
      </c>
      <c r="F24" s="25">
        <f>D24*E24</f>
        <v>3750000</v>
      </c>
    </row>
    <row r="25" spans="1:6" ht="30.75">
      <c r="A25" s="4">
        <v>2</v>
      </c>
      <c r="B25" s="5" t="s">
        <v>191</v>
      </c>
      <c r="C25" s="4" t="s">
        <v>181</v>
      </c>
      <c r="D25" s="4">
        <v>1</v>
      </c>
      <c r="E25" s="25">
        <v>3500000</v>
      </c>
      <c r="F25" s="25">
        <f>D25*E25</f>
        <v>3500000</v>
      </c>
    </row>
    <row r="26" spans="1:6" ht="30.75">
      <c r="A26" s="4">
        <v>3</v>
      </c>
      <c r="B26" s="5" t="s">
        <v>192</v>
      </c>
      <c r="C26" s="4" t="s">
        <v>181</v>
      </c>
      <c r="D26" s="4">
        <v>1</v>
      </c>
      <c r="E26" s="25">
        <v>4500000</v>
      </c>
      <c r="F26" s="25">
        <f>D26*E26</f>
        <v>4500000</v>
      </c>
    </row>
    <row r="27" spans="1:6">
      <c r="A27" s="4">
        <v>4</v>
      </c>
      <c r="B27" s="5" t="s">
        <v>193</v>
      </c>
      <c r="C27" s="4" t="s">
        <v>181</v>
      </c>
      <c r="D27" s="4">
        <v>1</v>
      </c>
      <c r="E27" s="25">
        <v>500000</v>
      </c>
      <c r="F27" s="25">
        <f>D27*E27</f>
        <v>500000</v>
      </c>
    </row>
    <row r="28" spans="1:6">
      <c r="A28" s="4">
        <v>5</v>
      </c>
      <c r="B28" s="5" t="s">
        <v>194</v>
      </c>
      <c r="C28" s="4" t="s">
        <v>195</v>
      </c>
      <c r="D28" s="4">
        <v>1</v>
      </c>
      <c r="E28" s="25">
        <v>850000</v>
      </c>
      <c r="F28" s="25">
        <f>D28*E28</f>
        <v>850000</v>
      </c>
    </row>
    <row r="29" spans="1:6">
      <c r="A29" s="38" t="s">
        <v>196</v>
      </c>
      <c r="B29" s="39"/>
      <c r="C29" s="39"/>
      <c r="D29" s="39"/>
      <c r="E29" s="39"/>
      <c r="F29" s="26">
        <f>F9+F11+F13+F14+F16+F17+F18+F20+F21+F22+F24+F25+F26+F27+F28</f>
        <v>73800000</v>
      </c>
    </row>
    <row r="31" spans="1:6">
      <c r="A31" s="10" t="s">
        <v>197</v>
      </c>
    </row>
    <row r="33" spans="2:6">
      <c r="D33" s="31" t="s">
        <v>21</v>
      </c>
      <c r="E33" s="41"/>
      <c r="F33" s="41"/>
    </row>
    <row r="34" spans="2:6">
      <c r="B34" s="11" t="s">
        <v>22</v>
      </c>
      <c r="D34" s="27" t="s">
        <v>23</v>
      </c>
      <c r="E34" s="41"/>
      <c r="F34" s="41"/>
    </row>
    <row r="38" spans="2:6">
      <c r="B38" s="11" t="s">
        <v>6</v>
      </c>
      <c r="D38" s="27" t="s">
        <v>6</v>
      </c>
      <c r="E38" s="41"/>
      <c r="F38" s="41"/>
    </row>
  </sheetData>
  <mergeCells count="11">
    <mergeCell ref="D38:F38"/>
    <mergeCell ref="B12:F12"/>
    <mergeCell ref="A29:E29"/>
    <mergeCell ref="B15:F15"/>
    <mergeCell ref="B10:F10"/>
    <mergeCell ref="D34:F34"/>
    <mergeCell ref="A1:F1"/>
    <mergeCell ref="B19:F19"/>
    <mergeCell ref="B23:F23"/>
    <mergeCell ref="B8:F8"/>
    <mergeCell ref="D33:F3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selection activeCell="C5" sqref="C5"/>
    </sheetView>
  </sheetViews>
  <sheetFormatPr defaultRowHeight="15"/>
  <cols>
    <col min="1" max="1" width="8" customWidth="1"/>
    <col min="2" max="2" width="42" customWidth="1"/>
    <col min="3" max="3" width="70" customWidth="1"/>
    <col min="4" max="4" width="18" customWidth="1"/>
  </cols>
  <sheetData>
    <row r="1" spans="1:4" ht="36" customHeight="1">
      <c r="A1" s="30" t="s">
        <v>198</v>
      </c>
      <c r="B1" s="41"/>
      <c r="C1" s="41"/>
      <c r="D1" s="41"/>
    </row>
    <row r="2" spans="1:4" ht="30.75">
      <c r="A2" s="1" t="s">
        <v>1</v>
      </c>
      <c r="B2" s="2" t="s">
        <v>2</v>
      </c>
    </row>
    <row r="3" spans="1:4" ht="30.75">
      <c r="A3" s="1" t="s">
        <v>3</v>
      </c>
      <c r="B3" s="2" t="s">
        <v>4</v>
      </c>
    </row>
    <row r="4" spans="1:4" ht="30.75">
      <c r="A4" s="1" t="s">
        <v>5</v>
      </c>
      <c r="B4" s="2" t="s">
        <v>6</v>
      </c>
    </row>
    <row r="5" spans="1:4">
      <c r="A5" s="21" t="s">
        <v>199</v>
      </c>
    </row>
    <row r="7" spans="1:4" ht="32.1" customHeight="1">
      <c r="A7" s="3" t="s">
        <v>39</v>
      </c>
      <c r="B7" s="3" t="s">
        <v>200</v>
      </c>
      <c r="C7" s="3" t="s">
        <v>201</v>
      </c>
      <c r="D7" s="3" t="s">
        <v>202</v>
      </c>
    </row>
    <row r="8" spans="1:4">
      <c r="A8" s="40" t="s">
        <v>203</v>
      </c>
      <c r="B8" s="40"/>
      <c r="C8" s="40"/>
      <c r="D8" s="40"/>
    </row>
    <row r="9" spans="1:4" ht="36" customHeight="1">
      <c r="A9" s="4">
        <v>1</v>
      </c>
      <c r="B9" s="5" t="s">
        <v>204</v>
      </c>
      <c r="C9" s="5" t="s">
        <v>205</v>
      </c>
      <c r="D9" s="25">
        <v>1500000</v>
      </c>
    </row>
    <row r="10" spans="1:4" ht="45.75">
      <c r="A10" s="4">
        <v>2</v>
      </c>
      <c r="B10" s="5" t="s">
        <v>206</v>
      </c>
      <c r="C10" s="5" t="s">
        <v>207</v>
      </c>
      <c r="D10" s="25">
        <v>4000000</v>
      </c>
    </row>
    <row r="11" spans="1:4">
      <c r="A11" s="40" t="s">
        <v>208</v>
      </c>
      <c r="B11" s="40"/>
      <c r="C11" s="40"/>
      <c r="D11" s="40"/>
    </row>
    <row r="12" spans="1:4" ht="36" customHeight="1">
      <c r="A12" s="4">
        <v>1</v>
      </c>
      <c r="B12" s="5" t="s">
        <v>204</v>
      </c>
      <c r="C12" s="5" t="s">
        <v>209</v>
      </c>
      <c r="D12" s="25">
        <v>1500000</v>
      </c>
    </row>
    <row r="13" spans="1:4" ht="36" customHeight="1">
      <c r="A13" s="4">
        <v>2</v>
      </c>
      <c r="B13" s="5" t="s">
        <v>206</v>
      </c>
      <c r="C13" s="5" t="s">
        <v>210</v>
      </c>
      <c r="D13" s="25">
        <v>3000000</v>
      </c>
    </row>
    <row r="14" spans="1:4">
      <c r="A14" s="40" t="s">
        <v>211</v>
      </c>
      <c r="B14" s="40"/>
      <c r="C14" s="40"/>
      <c r="D14" s="40"/>
    </row>
    <row r="15" spans="1:4" ht="36" customHeight="1">
      <c r="A15" s="4">
        <v>1</v>
      </c>
      <c r="B15" s="5" t="s">
        <v>206</v>
      </c>
      <c r="C15" s="5" t="s">
        <v>212</v>
      </c>
      <c r="D15" s="25">
        <v>3000000</v>
      </c>
    </row>
    <row r="16" spans="1:4" ht="36" customHeight="1">
      <c r="A16" s="4">
        <v>2</v>
      </c>
      <c r="B16" s="5" t="s">
        <v>213</v>
      </c>
      <c r="C16" s="5" t="s">
        <v>214</v>
      </c>
      <c r="D16" s="25">
        <v>5000000</v>
      </c>
    </row>
    <row r="17" spans="1:4">
      <c r="A17" s="40" t="s">
        <v>215</v>
      </c>
      <c r="B17" s="40"/>
      <c r="C17" s="40"/>
      <c r="D17" s="40"/>
    </row>
    <row r="18" spans="1:4" ht="36" customHeight="1">
      <c r="A18" s="4">
        <v>1</v>
      </c>
      <c r="B18" s="5" t="s">
        <v>216</v>
      </c>
      <c r="C18" s="5" t="s">
        <v>217</v>
      </c>
      <c r="D18" s="25">
        <v>1000000</v>
      </c>
    </row>
    <row r="19" spans="1:4" ht="36" customHeight="1">
      <c r="A19" s="4">
        <v>2</v>
      </c>
      <c r="B19" s="5" t="s">
        <v>213</v>
      </c>
      <c r="C19" s="5" t="s">
        <v>218</v>
      </c>
      <c r="D19" s="25">
        <v>10000000</v>
      </c>
    </row>
    <row r="20" spans="1:4">
      <c r="A20" s="40" t="s">
        <v>219</v>
      </c>
      <c r="B20" s="40"/>
      <c r="C20" s="40"/>
      <c r="D20" s="40"/>
    </row>
    <row r="21" spans="1:4" ht="36" customHeight="1">
      <c r="A21" s="4">
        <v>1</v>
      </c>
      <c r="B21" s="5" t="s">
        <v>206</v>
      </c>
      <c r="C21" s="5" t="s">
        <v>220</v>
      </c>
      <c r="D21" s="25">
        <v>3000000</v>
      </c>
    </row>
    <row r="22" spans="1:4" ht="36" customHeight="1">
      <c r="A22" s="4">
        <v>2</v>
      </c>
      <c r="B22" s="5" t="s">
        <v>213</v>
      </c>
      <c r="C22" s="5" t="s">
        <v>221</v>
      </c>
      <c r="D22" s="25">
        <v>8000000</v>
      </c>
    </row>
    <row r="23" spans="1:4">
      <c r="A23" s="40" t="s">
        <v>222</v>
      </c>
      <c r="B23" s="40"/>
      <c r="C23" s="40"/>
      <c r="D23" s="40"/>
    </row>
    <row r="24" spans="1:4" ht="36" customHeight="1">
      <c r="A24" s="4">
        <v>1</v>
      </c>
      <c r="B24" s="5" t="s">
        <v>204</v>
      </c>
      <c r="C24" s="5" t="s">
        <v>223</v>
      </c>
      <c r="D24" s="25">
        <v>2000000</v>
      </c>
    </row>
    <row r="25" spans="1:4" ht="36" customHeight="1">
      <c r="A25" s="4">
        <v>2</v>
      </c>
      <c r="B25" s="5" t="s">
        <v>224</v>
      </c>
      <c r="C25" s="5" t="s">
        <v>225</v>
      </c>
      <c r="D25" s="25">
        <v>4000000</v>
      </c>
    </row>
    <row r="26" spans="1:4" ht="36" customHeight="1">
      <c r="A26" s="4">
        <v>3</v>
      </c>
      <c r="B26" s="5" t="s">
        <v>213</v>
      </c>
      <c r="C26" s="5" t="s">
        <v>226</v>
      </c>
      <c r="D26" s="25">
        <v>3000000</v>
      </c>
    </row>
    <row r="27" spans="1:4">
      <c r="A27" s="38" t="s">
        <v>196</v>
      </c>
      <c r="B27" s="39"/>
      <c r="C27" s="39"/>
      <c r="D27" s="26">
        <f>SUM(D8:D26)</f>
        <v>49000000</v>
      </c>
    </row>
    <row r="29" spans="1:4">
      <c r="A29" s="10" t="s">
        <v>227</v>
      </c>
    </row>
    <row r="31" spans="1:4">
      <c r="C31" s="31" t="s">
        <v>21</v>
      </c>
      <c r="D31" s="41"/>
    </row>
    <row r="32" spans="1:4">
      <c r="B32" s="11" t="s">
        <v>22</v>
      </c>
      <c r="C32" s="27" t="s">
        <v>23</v>
      </c>
      <c r="D32" s="41"/>
    </row>
    <row r="36" spans="2:4">
      <c r="B36" s="11" t="s">
        <v>6</v>
      </c>
      <c r="C36" s="27" t="s">
        <v>6</v>
      </c>
      <c r="D36" s="41"/>
    </row>
  </sheetData>
  <mergeCells count="11">
    <mergeCell ref="A1:D1"/>
    <mergeCell ref="A17:D17"/>
    <mergeCell ref="A23:D23"/>
    <mergeCell ref="A8:D8"/>
    <mergeCell ref="C32:D32"/>
    <mergeCell ref="A20:D20"/>
    <mergeCell ref="C36:D36"/>
    <mergeCell ref="A27:C27"/>
    <mergeCell ref="A11:D11"/>
    <mergeCell ref="C31:D31"/>
    <mergeCell ref="A14:D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319DA589-9C5C-4301-90B3-428C9281F7E3}"/>
</file>

<file path=customXml/itemProps2.xml><?xml version="1.0" encoding="utf-8"?>
<ds:datastoreItem xmlns:ds="http://schemas.openxmlformats.org/officeDocument/2006/customXml" ds:itemID="{08918106-BEED-4BD1-A2A0-7DD1C9B65345}"/>
</file>

<file path=customXml/itemProps3.xml><?xml version="1.0" encoding="utf-8"?>
<ds:datastoreItem xmlns:ds="http://schemas.openxmlformats.org/officeDocument/2006/customXml" ds:itemID="{4EAB1F6B-82B7-4EA4-A35B-4C243D6BA0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Pham Doan Bao Thien 202490090</cp:lastModifiedBy>
  <cp:revision/>
  <dcterms:created xsi:type="dcterms:W3CDTF">2026-09-16T13:07:44Z</dcterms:created>
  <dcterms:modified xsi:type="dcterms:W3CDTF">2026-09-19T02:58:39Z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