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pt225093_sis_hust_edu_vn/Documents/Tệp trò chuyện qua Microsoft Teams/"/>
    </mc:Choice>
  </mc:AlternateContent>
  <xr:revisionPtr revIDLastSave="25" documentId="13_ncr:1_{EE7AC762-9694-4DF6-AFA6-E08A8F78FC73}" xr6:coauthVersionLast="47" xr6:coauthVersionMax="47" xr10:uidLastSave="{67FDF492-1273-4B52-824F-329655BFC2BB}"/>
  <bookViews>
    <workbookView xWindow="-120" yWindow="-120" windowWidth="20730" windowHeight="11040" activeTab="4" xr2:uid="{00000000-000D-0000-FFFF-FFFF00000000}"/>
  </bookViews>
  <sheets>
    <sheet name="Tienconglaodong" sheetId="2" r:id="rId1"/>
    <sheet name="Dutoankinhphi" sheetId="3" r:id="rId2"/>
    <sheet name="Thietbivattu" sheetId="4" r:id="rId3"/>
    <sheet name="Chikhac" sheetId="5" r:id="rId4"/>
    <sheet name="Thoigiancongviec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NUhrM3iVP986mNNq9HI1WiUXTqWhhqUEuNgTCmv+jI="/>
    </ext>
  </extLst>
</workbook>
</file>

<file path=xl/calcChain.xml><?xml version="1.0" encoding="utf-8"?>
<calcChain xmlns="http://schemas.openxmlformats.org/spreadsheetml/2006/main">
  <c r="F10" i="2" l="1"/>
  <c r="C10" i="3"/>
  <c r="F35" i="5"/>
  <c r="F26" i="4"/>
  <c r="F33" i="5"/>
  <c r="F32" i="5"/>
  <c r="F30" i="5"/>
  <c r="F29" i="5"/>
  <c r="F28" i="5"/>
  <c r="F26" i="5"/>
  <c r="F25" i="5"/>
  <c r="F24" i="5"/>
  <c r="F23" i="5"/>
  <c r="F21" i="5"/>
  <c r="F20" i="5"/>
  <c r="F19" i="5"/>
  <c r="F18" i="5"/>
  <c r="F16" i="5"/>
  <c r="F15" i="5"/>
  <c r="F11" i="5"/>
  <c r="F10" i="5"/>
  <c r="F9" i="5"/>
  <c r="F9" i="4"/>
  <c r="F24" i="4"/>
  <c r="F23" i="4"/>
  <c r="F22" i="4"/>
  <c r="F21" i="4"/>
  <c r="F19" i="4"/>
  <c r="F15" i="4"/>
  <c r="F11" i="4"/>
  <c r="G8" i="2"/>
  <c r="F9" i="2"/>
  <c r="F8" i="2"/>
  <c r="K5" i="6" l="1"/>
  <c r="K6" i="6"/>
  <c r="K7" i="6"/>
  <c r="K8" i="6"/>
  <c r="K9" i="6"/>
  <c r="K10" i="6"/>
  <c r="K12" i="6"/>
  <c r="K13" i="6"/>
  <c r="K15" i="6"/>
  <c r="K16" i="6"/>
  <c r="K17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3" i="6"/>
  <c r="K34" i="6"/>
  <c r="K35" i="6"/>
  <c r="K36" i="6"/>
  <c r="K37" i="6"/>
  <c r="K38" i="6"/>
  <c r="K39" i="6"/>
  <c r="K40" i="6"/>
  <c r="K41" i="6"/>
  <c r="K42" i="6"/>
  <c r="K43" i="6"/>
  <c r="K44" i="6"/>
  <c r="K46" i="6"/>
  <c r="K47" i="6"/>
  <c r="K48" i="6"/>
  <c r="K49" i="6"/>
  <c r="K50" i="6"/>
  <c r="K51" i="6"/>
  <c r="K52" i="6"/>
  <c r="K53" i="6"/>
  <c r="K54" i="6"/>
  <c r="K55" i="6"/>
  <c r="K56" i="6"/>
  <c r="K57" i="6"/>
  <c r="K59" i="6"/>
  <c r="K60" i="6"/>
  <c r="K61" i="6"/>
  <c r="K62" i="6"/>
  <c r="K64" i="6"/>
  <c r="K65" i="6"/>
  <c r="K66" i="6"/>
  <c r="K67" i="6"/>
  <c r="K69" i="6"/>
  <c r="K70" i="6"/>
  <c r="K71" i="6"/>
  <c r="K72" i="6"/>
  <c r="K73" i="6"/>
  <c r="K74" i="6"/>
  <c r="K75" i="6"/>
  <c r="K76" i="6"/>
  <c r="K79" i="6"/>
  <c r="K80" i="6"/>
  <c r="K81" i="6"/>
  <c r="K82" i="6"/>
  <c r="K84" i="6"/>
  <c r="K85" i="6"/>
  <c r="K86" i="6"/>
  <c r="I5" i="6"/>
  <c r="I6" i="6"/>
  <c r="I7" i="6"/>
  <c r="I8" i="6"/>
  <c r="I9" i="6"/>
  <c r="I10" i="6"/>
  <c r="I12" i="6"/>
  <c r="I13" i="6"/>
  <c r="I15" i="6"/>
  <c r="I16" i="6"/>
  <c r="I17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3" i="6"/>
  <c r="I34" i="6"/>
  <c r="I35" i="6"/>
  <c r="I36" i="6"/>
  <c r="I37" i="6"/>
  <c r="I38" i="6"/>
  <c r="I39" i="6"/>
  <c r="I40" i="6"/>
  <c r="I41" i="6"/>
  <c r="I42" i="6"/>
  <c r="I43" i="6"/>
  <c r="I44" i="6"/>
  <c r="I46" i="6"/>
  <c r="I47" i="6"/>
  <c r="I48" i="6"/>
  <c r="I49" i="6"/>
  <c r="I50" i="6"/>
  <c r="I51" i="6"/>
  <c r="I52" i="6"/>
  <c r="I53" i="6"/>
  <c r="I54" i="6"/>
  <c r="I55" i="6"/>
  <c r="I56" i="6"/>
  <c r="I57" i="6"/>
  <c r="I59" i="6"/>
  <c r="I60" i="6"/>
  <c r="I61" i="6"/>
  <c r="I62" i="6"/>
  <c r="I64" i="6"/>
  <c r="I65" i="6"/>
  <c r="I66" i="6"/>
  <c r="I67" i="6"/>
  <c r="I69" i="6"/>
  <c r="I70" i="6"/>
  <c r="I71" i="6"/>
  <c r="I72" i="6"/>
  <c r="I73" i="6"/>
  <c r="I74" i="6"/>
  <c r="I75" i="6"/>
  <c r="I76" i="6"/>
  <c r="I79" i="6"/>
  <c r="I80" i="6"/>
  <c r="I81" i="6"/>
  <c r="I82" i="6"/>
  <c r="I84" i="6"/>
  <c r="I85" i="6"/>
  <c r="I86" i="6"/>
  <c r="F18" i="4"/>
  <c r="F17" i="4"/>
  <c r="F14" i="4"/>
  <c r="F13" i="4"/>
  <c r="G10" i="2"/>
  <c r="G9" i="2" l="1"/>
  <c r="G11" i="2" s="1"/>
  <c r="C8" i="3" s="1"/>
  <c r="F11" i="2"/>
  <c r="D11" i="2"/>
  <c r="C9" i="3"/>
  <c r="C11" i="3" l="1"/>
</calcChain>
</file>

<file path=xl/sharedStrings.xml><?xml version="1.0" encoding="utf-8"?>
<sst xmlns="http://schemas.openxmlformats.org/spreadsheetml/2006/main" count="480" uniqueCount="273">
  <si>
    <t>BẢNG TIỀN CÔNG LAO ĐỘNG</t>
  </si>
  <si>
    <t>ĐỀ TÀI</t>
  </si>
  <si>
    <t>Quản lý dự án xây dựng website bán phụ kiện thể thao Con Sport</t>
  </si>
  <si>
    <t>MÃ SỐ</t>
  </si>
  <si>
    <t>CHỦ TRÌ</t>
  </si>
  <si>
    <t>Công lao động khoa học thực hiện theo mức lương cơ bản:</t>
  </si>
  <si>
    <t>TT</t>
  </si>
  <si>
    <t>Họ và tên</t>
  </si>
  <si>
    <t>Nhiệm vụ</t>
  </si>
  <si>
    <t>Số ngày công</t>
  </si>
  <si>
    <t>Hệ số nhiệm vụ</t>
  </si>
  <si>
    <t>Định mức / ngày công</t>
  </si>
  <si>
    <t>Thành tiền</t>
  </si>
  <si>
    <t>Trần Phương Anh</t>
  </si>
  <si>
    <t>Chủ nhiệm</t>
  </si>
  <si>
    <t>Chủ trì</t>
  </si>
  <si>
    <t>Bùi Thế Hoàng</t>
  </si>
  <si>
    <t>Thành viên chính</t>
  </si>
  <si>
    <t>Thư ký</t>
  </si>
  <si>
    <t>Phạm Trung Thành</t>
  </si>
  <si>
    <t>Kỹ thuật viên</t>
  </si>
  <si>
    <t>Tổng</t>
  </si>
  <si>
    <t>Bằng chữ:</t>
  </si>
  <si>
    <t>Hà Nội, Ngày tháng năm 2026</t>
  </si>
  <si>
    <t>Chủ nhiệm đề tài</t>
  </si>
  <si>
    <t>Người lập bảng</t>
  </si>
  <si>
    <t xml:space="preserve">BẢNG DỰ TOÁN KINH PHÍ </t>
  </si>
  <si>
    <t>THỜI GIAN</t>
  </si>
  <si>
    <t>6 tháng</t>
  </si>
  <si>
    <t>Danh mục</t>
  </si>
  <si>
    <t>Số tiền</t>
  </si>
  <si>
    <t>Ghi chú</t>
  </si>
  <si>
    <t>Công lao động</t>
  </si>
  <si>
    <t>Vật tư, Thiết bị</t>
  </si>
  <si>
    <t>Chi Khác (VPP, Công tác, Quản lý..)</t>
  </si>
  <si>
    <t>PHỤ LỤC DỰ TOÁN KINH PHÍ
1. Nhân công lao động khoa học (khoán chi )</t>
  </si>
  <si>
    <t>Thiết bị vật tư phục vụ đề tài</t>
  </si>
  <si>
    <t>TÊN</t>
  </si>
  <si>
    <t>ĐƠN VỊ TÍNH</t>
  </si>
  <si>
    <t>SỐ LƯỢNG</t>
  </si>
  <si>
    <t>ĐƠN GIÁ</t>
  </si>
  <si>
    <t>THÀNH TIỀN</t>
  </si>
  <si>
    <t>I</t>
  </si>
  <si>
    <t>Thiết bị phát triển</t>
  </si>
  <si>
    <t>Màn hình nối</t>
  </si>
  <si>
    <t>Cái</t>
  </si>
  <si>
    <t>Ổ cứng SSD/Ổ cứng backup</t>
  </si>
  <si>
    <t>UPS/Bộ lưu điện</t>
  </si>
  <si>
    <t>Bộ</t>
  </si>
  <si>
    <t>II</t>
  </si>
  <si>
    <t>Thiết bị kiểm thử</t>
  </si>
  <si>
    <t>Điện thoại Android kiểm thử</t>
  </si>
  <si>
    <t>Điện thoại Iphone kiểm thử</t>
  </si>
  <si>
    <t>Máy tính bảng kiểm thử</t>
  </si>
  <si>
    <t>III</t>
  </si>
  <si>
    <t>Thiết bị mạng</t>
  </si>
  <si>
    <t>Router</t>
  </si>
  <si>
    <t>Thành viên</t>
  </si>
  <si>
    <t>Switch mạng</t>
  </si>
  <si>
    <t>Bộ phát wifi</t>
  </si>
  <si>
    <t>IV</t>
  </si>
  <si>
    <t>Hạ tầng</t>
  </si>
  <si>
    <t>Tên miền website</t>
  </si>
  <si>
    <t>Năm</t>
  </si>
  <si>
    <t>VPS/Cloud server</t>
  </si>
  <si>
    <t>Tháng</t>
  </si>
  <si>
    <t>Dung lượng lưu trữ, backup cloud</t>
  </si>
  <si>
    <t>OV SSL</t>
  </si>
  <si>
    <t>Hà Nội, Ngày  tháng năm 2026</t>
  </si>
  <si>
    <t>Chi khác phục vụ đề tài</t>
  </si>
  <si>
    <t>NỘI DUNG</t>
  </si>
  <si>
    <t>Đơn vị tính</t>
  </si>
  <si>
    <t>Số lượng</t>
  </si>
  <si>
    <t>Giá tiền (VNĐ)</t>
  </si>
  <si>
    <t>Phân tích, thiết kế</t>
  </si>
  <si>
    <t>In ấn tài liệu</t>
  </si>
  <si>
    <t>Gói</t>
  </si>
  <si>
    <t>Chi phí khảo sát, trao đổi nghiệp vụ</t>
  </si>
  <si>
    <t>Tài nguyên thiết kế UI/UX</t>
  </si>
  <si>
    <t>Phần mềm, dịch vụ</t>
  </si>
  <si>
    <t>Công cụ thiết kế giao diện</t>
  </si>
  <si>
    <t>Công cụ quản lí dự án</t>
  </si>
  <si>
    <t>Dịch vụ email hệ thống</t>
  </si>
  <si>
    <t>API, dịch vụ bên thứ 3</t>
  </si>
  <si>
    <t>Dữ liệu và nội dung</t>
  </si>
  <si>
    <t>Minh họa sản phẩm</t>
  </si>
  <si>
    <t>Thiết kế banner, quảng cáo</t>
  </si>
  <si>
    <t>Nhập và chuẩn hóa dữ liệu sản phẩm</t>
  </si>
  <si>
    <t>Viết nội dung sản phẩm</t>
  </si>
  <si>
    <t>Kiểm thử và triển khai</t>
  </si>
  <si>
    <t>Kiểm thử bảo mật website</t>
  </si>
  <si>
    <t>Kiểm thử hiệu năng</t>
  </si>
  <si>
    <t>Triển khai website lên môi trường thật</t>
  </si>
  <si>
    <t>Cấu hình backup và khôi phục dữ liệu</t>
  </si>
  <si>
    <t>V</t>
  </si>
  <si>
    <t>Đào tạo và vận hành</t>
  </si>
  <si>
    <t>Đào tạo nhân viên quản trị website</t>
  </si>
  <si>
    <t>Buổi</t>
  </si>
  <si>
    <t>Tài liệu hướng dẫn sử dụng</t>
  </si>
  <si>
    <t>Bảo trì, hỗ trợ sau triển khai</t>
  </si>
  <si>
    <t>VI</t>
  </si>
  <si>
    <t>Marketing</t>
  </si>
  <si>
    <t>Quảng cáo ra mắt website</t>
  </si>
  <si>
    <t>SEO và tối ưu nội dụng</t>
  </si>
  <si>
    <t>STT</t>
  </si>
  <si>
    <t>Tên công việc</t>
  </si>
  <si>
    <t>Mô tả</t>
  </si>
  <si>
    <t>MO</t>
  </si>
  <si>
    <t>ML</t>
  </si>
  <si>
    <t>MP</t>
  </si>
  <si>
    <t>EST</t>
  </si>
  <si>
    <t>Tăng thêm</t>
  </si>
  <si>
    <t>EST chốt</t>
  </si>
  <si>
    <t>Người thực hiện</t>
  </si>
  <si>
    <t>Khảo sát yêu cầu</t>
  </si>
  <si>
    <t xml:space="preserve">Khảo sát hiện trạng </t>
  </si>
  <si>
    <t>Khảo sát các mô hình thị trường.</t>
  </si>
  <si>
    <t>Ngày</t>
  </si>
  <si>
    <t>Phạm Trung Thành, Trần Phương Anh</t>
  </si>
  <si>
    <t xml:space="preserve">Hợp nhất hiện trạng </t>
  </si>
  <si>
    <t>Tổng hợp và hợp nhất các kết luận.</t>
  </si>
  <si>
    <t xml:space="preserve">Phân tích hiện trạng </t>
  </si>
  <si>
    <t>Thảo luận, phân tích và đưa ra được các yêu cầu cho dự án</t>
  </si>
  <si>
    <t>Đưa ra báo cáo đặc tả yêu cầu</t>
  </si>
  <si>
    <t>Triển khai các yêu cầu thành tài liệu phân tích yêu cầu để báo cáo khách hàng</t>
  </si>
  <si>
    <t>Mời khách hàng tham vấn</t>
  </si>
  <si>
    <t>Khảo sát ý kiến khách hàng, nhằm tìm ra được những thiếu sót và đáp ứng triệt để yêu cầu của khách hàng</t>
  </si>
  <si>
    <t>Chỉnh sửa lại yêu cầu phần mềm</t>
  </si>
  <si>
    <t>Chỉnh sửa lại các ý kiến mà khách hàng góp ý khi tham vấn</t>
  </si>
  <si>
    <t>Phân tích thiết kế hệ thống</t>
  </si>
  <si>
    <t>Xác định ma trận yêu cầu</t>
  </si>
  <si>
    <t>Lập bảng xác định các công việc và người thực hiện công việc đó.</t>
  </si>
  <si>
    <t>Thiết kế kiến trúc hệ thống</t>
  </si>
  <si>
    <t>Nhằm đưa ra cái nhìn tổng quan về việc triển khai cơ sở hạ tầng cho dự án.</t>
  </si>
  <si>
    <t>Thiết kế biểu đồ UC của hệ thống</t>
  </si>
  <si>
    <t>Xác định và phân tích Actor của hệ thống</t>
  </si>
  <si>
    <t>Xác định được những tác nhân tham gia dự án</t>
  </si>
  <si>
    <t>Xác định và phân tích các User Case</t>
  </si>
  <si>
    <t>Xác định những chức năng mà dự án cần thực hiện</t>
  </si>
  <si>
    <t>Vẽ biểu đồ User Case tổng quát</t>
  </si>
  <si>
    <t>Xác định được những chức năng của hệ thống và mối quan hệ một cách tổng quát</t>
  </si>
  <si>
    <t>Đặc tả User Case</t>
  </si>
  <si>
    <t>User Case đăng ký</t>
  </si>
  <si>
    <t>Minh họa mối quan hệ các yếu tố của chức năng đăng ký</t>
  </si>
  <si>
    <t>User Case đăng nhập</t>
  </si>
  <si>
    <t>Minh họa mối quan hệ các yếu tố của chức năng đăng nhập</t>
  </si>
  <si>
    <t>User Case quản lý hồ sơ cá nhân</t>
  </si>
  <si>
    <t>Minh họa mối quan hệ các yếu tố của chức năng quản lý hồ sơ cá nhân</t>
  </si>
  <si>
    <t>User Case tìm kiếm</t>
  </si>
  <si>
    <t>Minh họa mối quan hệ các yếu tố của chức năng tìm kiếm</t>
  </si>
  <si>
    <t>User Case thanh toán</t>
  </si>
  <si>
    <t>Minh họa mối quan hệ các yếu tố của chức năng thanh toán</t>
  </si>
  <si>
    <t>User Case quản lý giỏ hàng</t>
  </si>
  <si>
    <t>Minh họa mối quan hệ các yếu tố của chức năng quản lý giỏ hàng</t>
  </si>
  <si>
    <t>User Case quản lý sản phẩm</t>
  </si>
  <si>
    <t>Minh họa mối quan hệ các yếu tố của chức năng quản lý sản phẩm</t>
  </si>
  <si>
    <t>User Case quản lý thông tin khách hàng</t>
  </si>
  <si>
    <t>Minh họa mối quan hệ các yếu tố của chức năng quản lý thông tin khách hàng</t>
  </si>
  <si>
    <t>User Case quản lý đơn hàng</t>
  </si>
  <si>
    <t>Minh họa mối quan hệ các yếu tố của chức năng quản lý đơn hàng</t>
  </si>
  <si>
    <t>User Case quản lý chương trình khuyến mãi</t>
  </si>
  <si>
    <t>Minh họa mối quan hệ các yếu tố của chức năng quản lý chương trình khuyến mãi</t>
  </si>
  <si>
    <t>User Case đánh giá sản phẩm</t>
  </si>
  <si>
    <t>Minh họa mối quan hệ các yếu tố của chức năng đánh giá sản phẩm</t>
  </si>
  <si>
    <t>User Case thống kê doanh thu</t>
  </si>
  <si>
    <t>Minh họa mối quan hệ các yếu tố của chức năng thống kê doanh thu</t>
  </si>
  <si>
    <t>Xác định biểu đồ lớp</t>
  </si>
  <si>
    <t>Xây dựng mô hình lớp bao gồm các thuộc tính, hành động và mối quan hệ của chúng</t>
  </si>
  <si>
    <t>Xác định biểu đồ tuần tự</t>
  </si>
  <si>
    <t>Biểu đồ tuần tự đăng ký</t>
  </si>
  <si>
    <t>Xây dựng trình tự các bước khi đăng ký</t>
  </si>
  <si>
    <t>Biểu đồ tuần tự đăng nhập</t>
  </si>
  <si>
    <t>Xây dựng trình tự các bước khi đăng nhập</t>
  </si>
  <si>
    <t>Biểu đồ tuần tự quản lý hồ sơ cá nhân</t>
  </si>
  <si>
    <t>Xây dựng trình tự các bước khi quản lý hồ sơ cá nhân</t>
  </si>
  <si>
    <t>Biểu đồ tuần tự tìm kiếm</t>
  </si>
  <si>
    <t>Xây dựng trình tự các bước khi tìm kiếm</t>
  </si>
  <si>
    <t>Biểu đồ tuần tự thanh toán</t>
  </si>
  <si>
    <t>Xây dựng trình tự các bước khi thanh toán</t>
  </si>
  <si>
    <t>Biểu đồ tuần tự quản lý giỏ hàng</t>
  </si>
  <si>
    <t>Xây dựng trình tự các bước khi quản lý giỏ hàng</t>
  </si>
  <si>
    <t>Biểu đồ tuần tự quản lý sản phẩm</t>
  </si>
  <si>
    <t>Xây dựng trình tự các bước khi quản lý sản phẩm</t>
  </si>
  <si>
    <t>Biểu đồ tuần tự quản lý thông tin khách hàng</t>
  </si>
  <si>
    <t>Xây dựng trình tự các bước khi quản lý thông tin khách hàng</t>
  </si>
  <si>
    <t>Biểu đồ tuần tự quản lý đơn hàng</t>
  </si>
  <si>
    <t>Xây dựng trình tự các bước khi quản lý đơn hàng</t>
  </si>
  <si>
    <t>Biểu đồ tuần tự quản lý chương trình khuyến mãi</t>
  </si>
  <si>
    <t>Xây dựng trình tự các bước khi quản lý chương trình khuyến mãi</t>
  </si>
  <si>
    <t>Biểu đồ tuần tự đánh giá sản phẩm</t>
  </si>
  <si>
    <t>Xây dựng trình tự các bước đánh giá sản phẩm</t>
  </si>
  <si>
    <t>Biểu đồ tuần tự thống kê doanh thu</t>
  </si>
  <si>
    <t>Xây dựng trình tự các bước thống kê doanh thu</t>
  </si>
  <si>
    <t>Xác định sơ đồ hoạt động</t>
  </si>
  <si>
    <t>Sơ đồ hoạt động đăng ký</t>
  </si>
  <si>
    <t>Xây dựng các bước hoạt động cụ thể khi đăng ký</t>
  </si>
  <si>
    <t>Sơ đồ hoạt động đăng nhập</t>
  </si>
  <si>
    <t>Xây dựng các bước hoạt động cụ thể khi đăng nhập</t>
  </si>
  <si>
    <t>Sơ đồ hoạt động quản lý hồ sơ cá nhân</t>
  </si>
  <si>
    <t>Xây dựng các bước hoạt động cụ thể quản lý hồ sơ cá nhân</t>
  </si>
  <si>
    <t>Sơ đồ hoạt động tìm kiếm</t>
  </si>
  <si>
    <t>Xây dựng các bước hoạt động cụ thể  tìm kiếm</t>
  </si>
  <si>
    <t>Sơ đồ hoạt động thanh toán</t>
  </si>
  <si>
    <t>Xây dựng các bước hoạt động cụ thể thanh toán</t>
  </si>
  <si>
    <t>Sơ đồ hoạt động quản lý giỏ hàng</t>
  </si>
  <si>
    <t>Xây dựng các bước hoạt động cụ thể quản lý giỏ hàng</t>
  </si>
  <si>
    <t>Sơ đồ hoạt động quản lý sản phẩm</t>
  </si>
  <si>
    <t>Xây dựng các bước hoạt động cụ thể quản lý sản phẩm</t>
  </si>
  <si>
    <t>Sơ đồ hoạt động quản lý thông tin khách hàng</t>
  </si>
  <si>
    <t>Xây dựng các bước hoạt động cụ thể quản lý thông tin khách hàng</t>
  </si>
  <si>
    <t>Sơ đồ hoạt động quản lý đơn hàng</t>
  </si>
  <si>
    <t>Xây dựng các bước hoạt động cụ thể quản lý đơn hàng</t>
  </si>
  <si>
    <t>Sơ đồ hoạt động quản lý chương trình khuyến mãi</t>
  </si>
  <si>
    <t>Xây dựng các bước hoạt động cụ thể quản lý chương trình khuyến mãi</t>
  </si>
  <si>
    <t>Sơ đồ hoạt động đánh giá sản phẩm</t>
  </si>
  <si>
    <t>Xây dựng các bước hoạt động cụ thể đánh giá sản phẩm</t>
  </si>
  <si>
    <t>Sơ đồ hoạt động thống kê doanh thu</t>
  </si>
  <si>
    <t>Xây dựng các bước hoạt động cụ thể thống kê doanh thu</t>
  </si>
  <si>
    <t>Thiết kế giao diện</t>
  </si>
  <si>
    <t>Thiết kế giao diện phần Người dùng</t>
  </si>
  <si>
    <t>Đưa ra phần giao diện giao tiếp với người dùng</t>
  </si>
  <si>
    <t>Thiết kế giao diện cho phần Quản trị</t>
  </si>
  <si>
    <t>Đưa ra phần giao diện của người quản trị khi sử dụng</t>
  </si>
  <si>
    <t>Mời khách hàng tham vấn giao diện</t>
  </si>
  <si>
    <t>Hỏi ý kiến cuối cùng của khách hàng về giao diện chương trình</t>
  </si>
  <si>
    <t>Chỉnh sửa theo yêu cầu</t>
  </si>
  <si>
    <t>Chỉnh sửa theo những ý kiến của khách hàng, làm cam kết để bảo đảm khi nghiệm thu</t>
  </si>
  <si>
    <t>Xây dựng chương trình</t>
  </si>
  <si>
    <t>Thiết kế CSDL</t>
  </si>
  <si>
    <t xml:space="preserve">Xây dựng cơ sở dữ liệu cho dự án </t>
  </si>
  <si>
    <t>Phạm Trung Thành, Trần Phương Anh, Bùi Thế Hoàng</t>
  </si>
  <si>
    <t>Xây dựng module tầng Data Access</t>
  </si>
  <si>
    <t>Xây dựng tầng giao tiếp trực tiếp với CSDL</t>
  </si>
  <si>
    <t>Xây dựng module tầng ADO</t>
  </si>
  <si>
    <t>Xây dựng tầng giao tiếp gián tiếp với CSDL</t>
  </si>
  <si>
    <t>Xây dựng các chức năng phần Quản trị</t>
  </si>
  <si>
    <t>Xây dựng các chức năng liên quan cho người quản trị hệ thống phần mềm</t>
  </si>
  <si>
    <t>Xây dựng chức năng phần người dùng</t>
  </si>
  <si>
    <t>Đăng nhập</t>
  </si>
  <si>
    <t>Xây dựng phần Đăng nhập người dùng và Đăng nhập cho Quản trị</t>
  </si>
  <si>
    <t>Quản lý hồ sơ cá nhân</t>
  </si>
  <si>
    <t>Xây dựng chức năng Quản lý hồ sơ cá nhân</t>
  </si>
  <si>
    <t>Tìm kiếm</t>
  </si>
  <si>
    <t>Xây dựng chức năng Tìm kiếm</t>
  </si>
  <si>
    <t>Thanh toán</t>
  </si>
  <si>
    <t>Xây dựng chức năng Thanh toán</t>
  </si>
  <si>
    <t>Quản lý giỏ hàng</t>
  </si>
  <si>
    <t>Xây dựng chức năng Quản lý giỏ hàng</t>
  </si>
  <si>
    <t>Quản lý đơn hàng</t>
  </si>
  <si>
    <t>Xây dựng chức năng Quản lý đơn hàng</t>
  </si>
  <si>
    <t>Đánh giá sản phẩm</t>
  </si>
  <si>
    <t>Xây dựng chức năng Đánh giá sản phẩm</t>
  </si>
  <si>
    <t>Viết hướng dẫn sử dụng</t>
  </si>
  <si>
    <t>Viết tài liệu hướng dẫn sử dụng chương trình</t>
  </si>
  <si>
    <t>Kiểm thử chương trình</t>
  </si>
  <si>
    <t>Kiểm thử chức năng</t>
  </si>
  <si>
    <t>Kiểm thử các chức năng phần quản trị</t>
  </si>
  <si>
    <t>Tìm kiếm những thiếu sót và lỗi trong phần quản trị</t>
  </si>
  <si>
    <t>Kiểm thử chức năng phần người dùng</t>
  </si>
  <si>
    <t>Kiểm tra lỗi các chức năng phần người dùng</t>
  </si>
  <si>
    <t>Kiểm thử toàn cục</t>
  </si>
  <si>
    <t>Thử lỗi tổng quát toàn chương trình</t>
  </si>
  <si>
    <t>Sửa lỗi chương trình</t>
  </si>
  <si>
    <t>Sửa tất cả các lỗi đã được tìm thấy</t>
  </si>
  <si>
    <t>Triển khai hệ thống</t>
  </si>
  <si>
    <t>Triển khai toàn cục</t>
  </si>
  <si>
    <t>Triển khai ứng dụng thông qua môi trường Internet</t>
  </si>
  <si>
    <t>Báo cáo chương trình</t>
  </si>
  <si>
    <t>Báo cáo nghiệm thu chương trình</t>
  </si>
  <si>
    <t>Đào tạo nhân lực sử dụng chương trình</t>
  </si>
  <si>
    <t>Hướng dẫn sử dụng chương trình, đào tạo cán bộ, nghiệm thu chương trình</t>
  </si>
  <si>
    <t>Bảo trì hệ thống</t>
  </si>
  <si>
    <t>Cử nhân viên bảo dưỡng, bảo trì hệ thống khi chạy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</si>
</sst>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\ "/>
  </numFmts>
  <fonts count="15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E36C09"/>
      <name val="Arial"/>
      <family val="2"/>
    </font>
    <font>
      <sz val="9"/>
      <color theme="9" tint="-0.249977111117893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1" fillId="0" borderId="1" xfId="0" applyFont="1" applyBorder="1"/>
    <xf numFmtId="164" fontId="1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165" fontId="1" fillId="0" borderId="1" xfId="0" applyNumberFormat="1" applyFont="1" applyBorder="1"/>
    <xf numFmtId="0" fontId="3" fillId="0" borderId="1" xfId="0" applyFont="1" applyBorder="1"/>
    <xf numFmtId="165" fontId="1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/>
    <xf numFmtId="9" fontId="6" fillId="0" borderId="2" xfId="0" applyNumberFormat="1" applyFont="1" applyBorder="1"/>
    <xf numFmtId="0" fontId="7" fillId="0" borderId="2" xfId="0" applyFont="1" applyBorder="1" applyAlignment="1">
      <alignment horizontal="center"/>
    </xf>
    <xf numFmtId="0" fontId="8" fillId="0" borderId="2" xfId="0" applyFont="1" applyBorder="1"/>
    <xf numFmtId="0" fontId="7" fillId="0" borderId="2" xfId="0" applyFont="1" applyBorder="1"/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vertical="center"/>
    </xf>
    <xf numFmtId="164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0" fillId="0" borderId="2" xfId="0" applyBorder="1"/>
    <xf numFmtId="0" fontId="14" fillId="0" borderId="2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workbookViewId="0">
      <selection activeCell="D21" sqref="D21"/>
    </sheetView>
  </sheetViews>
  <sheetFormatPr defaultColWidth="14.42578125" defaultRowHeight="15" customHeight="1"/>
  <cols>
    <col min="1" max="1" width="11.140625" customWidth="1"/>
    <col min="2" max="2" width="17.5703125" bestFit="1" customWidth="1"/>
    <col min="3" max="3" width="15.42578125" bestFit="1" customWidth="1"/>
    <col min="4" max="4" width="12.7109375" customWidth="1"/>
    <col min="5" max="5" width="11.5703125" customWidth="1"/>
    <col min="6" max="6" width="11.5703125" bestFit="1" customWidth="1"/>
    <col min="7" max="7" width="14" bestFit="1" customWidth="1"/>
    <col min="8" max="8" width="21.42578125" customWidth="1"/>
    <col min="9" max="9" width="8.85546875" customWidth="1"/>
    <col min="10" max="10" width="9.85546875" customWidth="1"/>
    <col min="11" max="12" width="8.85546875" customWidth="1"/>
    <col min="13" max="13" width="18.5703125" customWidth="1"/>
    <col min="14" max="14" width="15.42578125" customWidth="1"/>
    <col min="15" max="26" width="8.85546875" customWidth="1"/>
  </cols>
  <sheetData>
    <row r="1" spans="1:26" ht="15" customHeight="1">
      <c r="A1" s="45" t="s">
        <v>0</v>
      </c>
      <c r="B1" s="55"/>
      <c r="C1" s="55"/>
      <c r="D1" s="55"/>
      <c r="E1" s="55"/>
      <c r="F1" s="55"/>
      <c r="G1" s="55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3" t="s">
        <v>1</v>
      </c>
      <c r="B2" s="46" t="s">
        <v>2</v>
      </c>
      <c r="C2" s="46"/>
      <c r="D2" s="46"/>
      <c r="E2" s="46"/>
      <c r="F2" s="46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3" t="s">
        <v>3</v>
      </c>
      <c r="B3" s="14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3" t="s">
        <v>4</v>
      </c>
      <c r="B4" s="2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" t="s">
        <v>5</v>
      </c>
      <c r="B5" s="3"/>
      <c r="C5" s="3"/>
      <c r="D5" s="3"/>
      <c r="E5" s="4">
        <v>2530000</v>
      </c>
      <c r="F5" s="3"/>
      <c r="G5" s="5"/>
      <c r="H5" s="6"/>
      <c r="I5" s="6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4.5" customHeight="1">
      <c r="A7" s="30" t="s">
        <v>6</v>
      </c>
      <c r="B7" s="30" t="s">
        <v>7</v>
      </c>
      <c r="C7" s="30" t="s">
        <v>8</v>
      </c>
      <c r="D7" s="30" t="s">
        <v>9</v>
      </c>
      <c r="E7" s="30" t="s">
        <v>10</v>
      </c>
      <c r="F7" s="30" t="s">
        <v>11</v>
      </c>
      <c r="G7" s="30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5">
        <v>1</v>
      </c>
      <c r="B8" s="31" t="s">
        <v>13</v>
      </c>
      <c r="C8" s="31" t="s">
        <v>14</v>
      </c>
      <c r="D8" s="31">
        <v>60</v>
      </c>
      <c r="E8" s="31">
        <v>0.75</v>
      </c>
      <c r="F8" s="32">
        <f>E8*$E$5</f>
        <v>1897500</v>
      </c>
      <c r="G8" s="32">
        <f>D8*F8</f>
        <v>113850000</v>
      </c>
      <c r="H8" s="9"/>
      <c r="I8" s="2"/>
      <c r="J8" s="2"/>
      <c r="K8" s="2"/>
      <c r="L8" s="2"/>
      <c r="M8" s="2"/>
      <c r="N8" s="2"/>
      <c r="O8" s="2"/>
      <c r="P8" s="8" t="s">
        <v>15</v>
      </c>
      <c r="Q8" s="8">
        <v>0.75</v>
      </c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35">
        <v>2</v>
      </c>
      <c r="B9" s="33" t="s">
        <v>16</v>
      </c>
      <c r="C9" s="31" t="s">
        <v>17</v>
      </c>
      <c r="D9" s="31">
        <v>20</v>
      </c>
      <c r="E9" s="31">
        <v>0.45</v>
      </c>
      <c r="F9" s="32">
        <f>E9*$E$5</f>
        <v>1138500</v>
      </c>
      <c r="G9" s="32">
        <f t="shared" ref="G9:G10" si="0">D9*F9</f>
        <v>22770000</v>
      </c>
      <c r="H9" s="9"/>
      <c r="I9" s="2"/>
      <c r="J9" s="2"/>
      <c r="K9" s="2"/>
      <c r="L9" s="2"/>
      <c r="M9" s="2"/>
      <c r="N9" s="2"/>
      <c r="O9" s="2"/>
      <c r="P9" s="8" t="s">
        <v>18</v>
      </c>
      <c r="Q9" s="8">
        <v>0.45</v>
      </c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35">
        <v>3</v>
      </c>
      <c r="B10" s="33" t="s">
        <v>19</v>
      </c>
      <c r="C10" s="31" t="s">
        <v>20</v>
      </c>
      <c r="D10" s="31">
        <v>29</v>
      </c>
      <c r="E10" s="31">
        <v>0.16</v>
      </c>
      <c r="F10" s="32">
        <f>E10*$E$5</f>
        <v>404800</v>
      </c>
      <c r="G10" s="32">
        <f t="shared" si="0"/>
        <v>11739200</v>
      </c>
      <c r="H10" s="9"/>
      <c r="I10" s="2"/>
      <c r="J10" s="2"/>
      <c r="K10" s="2"/>
      <c r="L10" s="2"/>
      <c r="M10" s="2"/>
      <c r="N10" s="2"/>
      <c r="O10" s="2"/>
      <c r="P10" s="8" t="s">
        <v>17</v>
      </c>
      <c r="Q10" s="8">
        <v>0.45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31"/>
      <c r="B11" s="31" t="s">
        <v>21</v>
      </c>
      <c r="C11" s="31"/>
      <c r="D11" s="31">
        <f>SUM(D8:D10)</f>
        <v>109</v>
      </c>
      <c r="E11" s="31"/>
      <c r="F11" s="32">
        <f>AVERAGE(F8:F10)</f>
        <v>1146933.3333333333</v>
      </c>
      <c r="G11" s="34">
        <f>SUM(G8:G10)</f>
        <v>148359200</v>
      </c>
      <c r="H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11" t="s">
        <v>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2"/>
      <c r="B15" s="2"/>
      <c r="D15" s="2"/>
      <c r="E15" s="12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2"/>
      <c r="B16" s="13" t="s">
        <v>24</v>
      </c>
      <c r="D16" s="2"/>
      <c r="E16" s="12" t="s">
        <v>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>
      <c r="A17" s="2"/>
      <c r="B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2"/>
      <c r="B18" s="2"/>
      <c r="D18" s="2"/>
      <c r="E18" s="1" t="s">
        <v>19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2">
    <mergeCell ref="A1:G1"/>
    <mergeCell ref="B2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23" sqref="B23"/>
    </sheetView>
  </sheetViews>
  <sheetFormatPr defaultColWidth="14.42578125" defaultRowHeight="15" customHeight="1"/>
  <cols>
    <col min="1" max="1" width="13.42578125" customWidth="1"/>
    <col min="2" max="2" width="42.7109375" customWidth="1"/>
    <col min="3" max="3" width="23.42578125" customWidth="1"/>
    <col min="4" max="4" width="20.42578125" customWidth="1"/>
    <col min="5" max="26" width="8.7109375" customWidth="1"/>
  </cols>
  <sheetData>
    <row r="1" spans="1:4" ht="14.25" customHeight="1">
      <c r="A1" s="47" t="s">
        <v>26</v>
      </c>
      <c r="B1" s="55"/>
      <c r="C1" s="55"/>
      <c r="D1" s="2"/>
    </row>
    <row r="2" spans="1:4" ht="14.25" customHeight="1">
      <c r="A2" s="13" t="s">
        <v>1</v>
      </c>
      <c r="B2" s="46" t="s">
        <v>2</v>
      </c>
      <c r="C2" s="46"/>
      <c r="D2" s="46"/>
    </row>
    <row r="3" spans="1:4" ht="14.25" customHeight="1">
      <c r="A3" s="13" t="s">
        <v>3</v>
      </c>
      <c r="B3" s="14"/>
      <c r="C3" s="2"/>
      <c r="D3" s="2"/>
    </row>
    <row r="4" spans="1:4" ht="14.25" customHeight="1">
      <c r="A4" s="13" t="s">
        <v>4</v>
      </c>
      <c r="B4" s="2"/>
      <c r="C4" s="2"/>
      <c r="D4" s="2"/>
    </row>
    <row r="5" spans="1:4" ht="14.25" customHeight="1">
      <c r="A5" s="13" t="s">
        <v>27</v>
      </c>
      <c r="B5" s="2" t="s">
        <v>28</v>
      </c>
      <c r="C5" s="2"/>
      <c r="D5" s="2"/>
    </row>
    <row r="6" spans="1:4" ht="14.25" customHeight="1">
      <c r="A6" s="2"/>
      <c r="B6" s="2"/>
      <c r="C6" s="2"/>
      <c r="D6" s="2"/>
    </row>
    <row r="7" spans="1:4" ht="14.25" customHeight="1">
      <c r="A7" s="38" t="s">
        <v>6</v>
      </c>
      <c r="B7" s="38" t="s">
        <v>29</v>
      </c>
      <c r="C7" s="38" t="s">
        <v>30</v>
      </c>
      <c r="D7" s="38" t="s">
        <v>31</v>
      </c>
    </row>
    <row r="8" spans="1:4" ht="14.25" customHeight="1">
      <c r="A8" s="35">
        <v>1</v>
      </c>
      <c r="B8" s="31" t="s">
        <v>32</v>
      </c>
      <c r="C8" s="32">
        <f>Tienconglaodong!G11</f>
        <v>148359200</v>
      </c>
      <c r="D8" s="31"/>
    </row>
    <row r="9" spans="1:4" ht="14.25" customHeight="1">
      <c r="A9" s="35">
        <v>2</v>
      </c>
      <c r="B9" s="31" t="s">
        <v>33</v>
      </c>
      <c r="C9" s="36">
        <f>Thietbivattu!F26</f>
        <v>73000000</v>
      </c>
      <c r="D9" s="31"/>
    </row>
    <row r="10" spans="1:4" ht="14.25" customHeight="1">
      <c r="A10" s="35">
        <v>3</v>
      </c>
      <c r="B10" s="31" t="s">
        <v>34</v>
      </c>
      <c r="C10" s="36">
        <f>Chikhac!F35</f>
        <v>102000000</v>
      </c>
      <c r="D10" s="31"/>
    </row>
    <row r="11" spans="1:4" ht="14.25" customHeight="1">
      <c r="A11" s="35"/>
      <c r="B11" s="31" t="s">
        <v>21</v>
      </c>
      <c r="C11" s="32">
        <f>SUM(C8:C10)</f>
        <v>323359200</v>
      </c>
      <c r="D11" s="31"/>
    </row>
    <row r="12" spans="1:4" ht="14.25" customHeight="1"/>
    <row r="13" spans="1:4" ht="14.25" customHeight="1">
      <c r="A13" s="11" t="s">
        <v>22</v>
      </c>
      <c r="B13" s="2"/>
      <c r="C13" s="2"/>
      <c r="D13" s="2"/>
    </row>
    <row r="14" spans="1:4" ht="14.25" customHeight="1"/>
    <row r="15" spans="1:4" ht="14.25" customHeight="1"/>
    <row r="16" spans="1:4" ht="14.25" customHeight="1">
      <c r="A16" s="2"/>
      <c r="B16" s="12" t="s">
        <v>23</v>
      </c>
    </row>
    <row r="17" spans="1:5" ht="14.25" customHeight="1">
      <c r="A17" s="13"/>
      <c r="B17" s="12" t="s">
        <v>24</v>
      </c>
      <c r="E17" s="12"/>
    </row>
    <row r="18" spans="1:5" ht="14.25" customHeight="1"/>
    <row r="19" spans="1:5" ht="14.25" customHeight="1"/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B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2"/>
  <sheetViews>
    <sheetView workbookViewId="0">
      <selection activeCell="D33" sqref="D33"/>
    </sheetView>
  </sheetViews>
  <sheetFormatPr defaultColWidth="14.42578125" defaultRowHeight="15" customHeight="1"/>
  <cols>
    <col min="1" max="1" width="10.42578125" customWidth="1"/>
    <col min="2" max="2" width="35.140625" customWidth="1"/>
    <col min="3" max="3" width="16.7109375" customWidth="1"/>
    <col min="4" max="4" width="12.7109375" customWidth="1"/>
    <col min="5" max="5" width="12.85546875" customWidth="1"/>
    <col min="6" max="6" width="14.7109375" customWidth="1"/>
    <col min="7" max="8" width="8.85546875" customWidth="1"/>
    <col min="9" max="9" width="9.85546875" customWidth="1"/>
    <col min="10" max="11" width="8.85546875" customWidth="1"/>
    <col min="12" max="12" width="18.5703125" customWidth="1"/>
    <col min="13" max="13" width="15.42578125" customWidth="1"/>
    <col min="14" max="26" width="8.85546875" customWidth="1"/>
  </cols>
  <sheetData>
    <row r="1" spans="1:26" ht="15" customHeight="1">
      <c r="A1" s="45" t="s">
        <v>35</v>
      </c>
      <c r="B1" s="55"/>
      <c r="C1" s="55"/>
      <c r="D1" s="55"/>
      <c r="E1" s="55"/>
      <c r="F1" s="55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3" t="s">
        <v>1</v>
      </c>
      <c r="B2" s="14" t="s">
        <v>2</v>
      </c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3" t="s">
        <v>3</v>
      </c>
      <c r="B3" s="1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3" t="s">
        <v>4</v>
      </c>
      <c r="B4" s="2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" t="s">
        <v>36</v>
      </c>
      <c r="B5" s="3"/>
      <c r="C5" s="3"/>
      <c r="D5" s="3"/>
      <c r="E5" s="4"/>
      <c r="F5" s="3"/>
      <c r="G5" s="6"/>
      <c r="H5" s="6"/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40" t="s">
        <v>6</v>
      </c>
      <c r="B7" s="40" t="s">
        <v>37</v>
      </c>
      <c r="C7" s="40" t="s">
        <v>38</v>
      </c>
      <c r="D7" s="40" t="s">
        <v>39</v>
      </c>
      <c r="E7" s="40" t="s">
        <v>40</v>
      </c>
      <c r="F7" s="40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40" t="s">
        <v>42</v>
      </c>
      <c r="B8" s="39" t="s">
        <v>43</v>
      </c>
      <c r="C8" s="39"/>
      <c r="D8" s="39"/>
      <c r="E8" s="39"/>
      <c r="F8" s="3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35">
        <v>1</v>
      </c>
      <c r="B9" s="31" t="s">
        <v>44</v>
      </c>
      <c r="C9" s="31" t="s">
        <v>45</v>
      </c>
      <c r="D9" s="31">
        <v>2</v>
      </c>
      <c r="E9" s="36">
        <v>4000000</v>
      </c>
      <c r="F9" s="36">
        <f>E9*D9</f>
        <v>8000000</v>
      </c>
      <c r="G9" s="2"/>
      <c r="H9" s="2"/>
      <c r="I9" s="2"/>
      <c r="J9" s="2"/>
      <c r="K9" s="2"/>
      <c r="L9" s="2"/>
      <c r="M9" s="2"/>
      <c r="N9" s="2"/>
      <c r="O9" s="8" t="s">
        <v>18</v>
      </c>
      <c r="P9" s="8">
        <v>0.45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35">
        <v>2</v>
      </c>
      <c r="B10" s="31" t="s">
        <v>46</v>
      </c>
      <c r="C10" s="31" t="s">
        <v>45</v>
      </c>
      <c r="D10" s="31">
        <v>2</v>
      </c>
      <c r="E10" s="36">
        <v>2500000</v>
      </c>
      <c r="F10" s="36">
        <v>5000000</v>
      </c>
      <c r="G10" s="2"/>
      <c r="H10" s="2"/>
      <c r="I10" s="2"/>
      <c r="J10" s="2"/>
      <c r="K10" s="2"/>
      <c r="L10" s="2"/>
      <c r="M10" s="2"/>
      <c r="N10" s="2"/>
      <c r="O10" s="8"/>
      <c r="P10" s="8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35">
        <v>3</v>
      </c>
      <c r="B11" s="31" t="s">
        <v>47</v>
      </c>
      <c r="C11" s="31" t="s">
        <v>48</v>
      </c>
      <c r="D11" s="31">
        <v>1</v>
      </c>
      <c r="E11" s="36">
        <v>4000000</v>
      </c>
      <c r="F11" s="36">
        <f>E11*D11</f>
        <v>4000000</v>
      </c>
      <c r="G11" s="2"/>
      <c r="H11" s="2"/>
      <c r="I11" s="2"/>
      <c r="J11" s="2"/>
      <c r="K11" s="2"/>
      <c r="L11" s="2"/>
      <c r="M11" s="2"/>
      <c r="N11" s="2"/>
      <c r="O11" s="8" t="s">
        <v>17</v>
      </c>
      <c r="P11" s="8">
        <v>0.45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38" t="s">
        <v>49</v>
      </c>
      <c r="B12" s="37" t="s">
        <v>50</v>
      </c>
      <c r="C12" s="31"/>
      <c r="D12" s="31"/>
      <c r="E12" s="36"/>
      <c r="F12" s="36"/>
      <c r="G12" s="2"/>
      <c r="H12" s="2"/>
      <c r="I12" s="2"/>
      <c r="J12" s="2"/>
      <c r="K12" s="2"/>
      <c r="L12" s="2"/>
      <c r="M12" s="2"/>
      <c r="N12" s="2"/>
      <c r="O12" s="8"/>
      <c r="P12" s="8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35">
        <v>1</v>
      </c>
      <c r="B13" s="31" t="s">
        <v>51</v>
      </c>
      <c r="C13" s="31" t="s">
        <v>45</v>
      </c>
      <c r="D13" s="31">
        <v>2</v>
      </c>
      <c r="E13" s="36">
        <v>5000000</v>
      </c>
      <c r="F13" s="36">
        <f t="shared" ref="F13:F14" si="0">E13*D13</f>
        <v>10000000</v>
      </c>
      <c r="G13" s="2"/>
      <c r="H13" s="2"/>
      <c r="I13" s="2"/>
      <c r="J13" s="2"/>
      <c r="K13" s="2"/>
      <c r="L13" s="2"/>
      <c r="M13" s="2"/>
      <c r="N13" s="2"/>
      <c r="O13" s="8"/>
      <c r="P13" s="8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35">
        <v>2</v>
      </c>
      <c r="B14" s="31" t="s">
        <v>52</v>
      </c>
      <c r="C14" s="31" t="s">
        <v>45</v>
      </c>
      <c r="D14" s="31">
        <v>2</v>
      </c>
      <c r="E14" s="36">
        <v>6000000</v>
      </c>
      <c r="F14" s="36">
        <f t="shared" si="0"/>
        <v>12000000</v>
      </c>
      <c r="G14" s="2"/>
      <c r="H14" s="2"/>
      <c r="I14" s="2"/>
      <c r="J14" s="2"/>
      <c r="K14" s="2"/>
      <c r="L14" s="2"/>
      <c r="M14" s="2"/>
      <c r="N14" s="2"/>
      <c r="O14" s="8"/>
      <c r="P14" s="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35">
        <v>3</v>
      </c>
      <c r="B15" s="31" t="s">
        <v>53</v>
      </c>
      <c r="C15" s="31" t="s">
        <v>45</v>
      </c>
      <c r="D15" s="31">
        <v>1</v>
      </c>
      <c r="E15" s="36">
        <v>10000000</v>
      </c>
      <c r="F15" s="36">
        <f>E15*D15</f>
        <v>10000000</v>
      </c>
      <c r="G15" s="2"/>
      <c r="H15" s="2"/>
      <c r="I15" s="2"/>
      <c r="J15" s="2"/>
      <c r="K15" s="2"/>
      <c r="L15" s="2"/>
      <c r="M15" s="2"/>
      <c r="N15" s="2"/>
      <c r="O15" s="8"/>
      <c r="P15" s="8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38" t="s">
        <v>54</v>
      </c>
      <c r="B16" s="37" t="s">
        <v>55</v>
      </c>
      <c r="C16" s="31"/>
      <c r="D16" s="31"/>
      <c r="E16" s="36"/>
      <c r="F16" s="36"/>
      <c r="G16" s="2"/>
      <c r="H16" s="2"/>
      <c r="I16" s="2"/>
      <c r="J16" s="2"/>
      <c r="K16" s="2"/>
      <c r="L16" s="2"/>
      <c r="M16" s="2"/>
      <c r="N16" s="2"/>
      <c r="O16" s="8"/>
      <c r="P16" s="8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>
      <c r="A17" s="35">
        <v>1</v>
      </c>
      <c r="B17" s="31" t="s">
        <v>56</v>
      </c>
      <c r="C17" s="31" t="s">
        <v>48</v>
      </c>
      <c r="D17" s="31">
        <v>1</v>
      </c>
      <c r="E17" s="36">
        <v>3000000</v>
      </c>
      <c r="F17" s="36">
        <f t="shared" ref="F17:F18" si="1">E17*D17</f>
        <v>3000000</v>
      </c>
      <c r="G17" s="2"/>
      <c r="H17" s="2"/>
      <c r="I17" s="2"/>
      <c r="J17" s="2"/>
      <c r="K17" s="2"/>
      <c r="L17" s="2"/>
      <c r="M17" s="2"/>
      <c r="N17" s="2"/>
      <c r="O17" s="8" t="s">
        <v>57</v>
      </c>
      <c r="P17" s="8">
        <v>0.25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35">
        <v>2</v>
      </c>
      <c r="B18" s="31" t="s">
        <v>58</v>
      </c>
      <c r="C18" s="31" t="s">
        <v>45</v>
      </c>
      <c r="D18" s="31">
        <v>1</v>
      </c>
      <c r="E18" s="36">
        <v>1500000</v>
      </c>
      <c r="F18" s="36">
        <f t="shared" si="1"/>
        <v>1500000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35">
        <v>3</v>
      </c>
      <c r="B19" s="31" t="s">
        <v>59</v>
      </c>
      <c r="C19" s="31" t="s">
        <v>48</v>
      </c>
      <c r="D19" s="31">
        <v>1</v>
      </c>
      <c r="E19" s="36">
        <v>2000000</v>
      </c>
      <c r="F19" s="36">
        <f>E19*D19</f>
        <v>2000000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38" t="s">
        <v>60</v>
      </c>
      <c r="B20" s="37" t="s">
        <v>61</v>
      </c>
      <c r="C20" s="31"/>
      <c r="D20" s="31"/>
      <c r="E20" s="36"/>
      <c r="F20" s="3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>
      <c r="A21" s="35">
        <v>1</v>
      </c>
      <c r="B21" s="31" t="s">
        <v>62</v>
      </c>
      <c r="C21" s="31" t="s">
        <v>63</v>
      </c>
      <c r="D21" s="31">
        <v>1</v>
      </c>
      <c r="E21" s="36">
        <v>500000</v>
      </c>
      <c r="F21" s="36">
        <f>E21*D21</f>
        <v>500000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>
      <c r="A22" s="35">
        <v>2</v>
      </c>
      <c r="B22" s="31" t="s">
        <v>64</v>
      </c>
      <c r="C22" s="31" t="s">
        <v>65</v>
      </c>
      <c r="D22" s="31">
        <v>6</v>
      </c>
      <c r="E22" s="36">
        <v>1500000</v>
      </c>
      <c r="F22" s="36">
        <f>E22*D22</f>
        <v>9000000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>
      <c r="A23" s="35">
        <v>3</v>
      </c>
      <c r="B23" s="42" t="s">
        <v>66</v>
      </c>
      <c r="C23" s="31" t="s">
        <v>65</v>
      </c>
      <c r="D23" s="31">
        <v>6</v>
      </c>
      <c r="E23" s="36">
        <v>500000</v>
      </c>
      <c r="F23" s="36">
        <f>E23*D23</f>
        <v>3000000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>
      <c r="A24" s="35">
        <v>4</v>
      </c>
      <c r="B24" s="42" t="s">
        <v>67</v>
      </c>
      <c r="C24" s="31" t="s">
        <v>63</v>
      </c>
      <c r="D24" s="31">
        <v>1</v>
      </c>
      <c r="E24" s="36">
        <v>5000000</v>
      </c>
      <c r="F24" s="36">
        <f>E24*D24</f>
        <v>5000000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>
      <c r="A25" s="35"/>
      <c r="B25" s="41"/>
      <c r="C25" s="31"/>
      <c r="D25" s="31"/>
      <c r="E25" s="36"/>
      <c r="F25" s="3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>
      <c r="A26" s="35"/>
      <c r="B26" s="37" t="s">
        <v>21</v>
      </c>
      <c r="C26" s="31"/>
      <c r="D26" s="31"/>
      <c r="E26" s="31"/>
      <c r="F26" s="32">
        <f>SUM(F9:F24)</f>
        <v>73000000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>
      <c r="A28" s="2"/>
      <c r="B28" s="11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>
      <c r="A30" s="2"/>
      <c r="B30" s="2"/>
      <c r="C30" s="2"/>
      <c r="D30" s="12" t="s">
        <v>68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>
      <c r="A31" s="2"/>
      <c r="B31" s="13" t="s">
        <v>24</v>
      </c>
      <c r="C31" s="2"/>
      <c r="D31" s="12" t="s">
        <v>25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>
      <c r="A33" s="2"/>
      <c r="B33" s="2"/>
      <c r="C33" s="2"/>
      <c r="D33" s="1" t="s">
        <v>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">
    <mergeCell ref="A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18"/>
  <sheetViews>
    <sheetView topLeftCell="A27" workbookViewId="0">
      <selection activeCell="B4" sqref="B4"/>
    </sheetView>
  </sheetViews>
  <sheetFormatPr defaultColWidth="14.42578125" defaultRowHeight="15" customHeight="1"/>
  <cols>
    <col min="1" max="1" width="10" customWidth="1"/>
    <col min="2" max="2" width="43.28515625" customWidth="1"/>
    <col min="3" max="3" width="14.28515625" customWidth="1"/>
    <col min="4" max="4" width="13.42578125" customWidth="1"/>
    <col min="5" max="5" width="16.5703125" customWidth="1"/>
    <col min="6" max="6" width="17.28515625" customWidth="1"/>
    <col min="7" max="7" width="23.28515625" customWidth="1"/>
    <col min="8" max="8" width="8.85546875" customWidth="1"/>
    <col min="9" max="9" width="9.85546875" customWidth="1"/>
    <col min="10" max="28" width="8.85546875" customWidth="1"/>
  </cols>
  <sheetData>
    <row r="1" spans="1:28" ht="15" customHeight="1">
      <c r="A1" s="45" t="s">
        <v>35</v>
      </c>
      <c r="B1" s="55"/>
      <c r="C1" s="55"/>
      <c r="D1" s="55"/>
      <c r="E1" s="55"/>
      <c r="F1" s="55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customHeight="1">
      <c r="A2" s="13" t="s">
        <v>1</v>
      </c>
      <c r="B2" s="14" t="s">
        <v>2</v>
      </c>
      <c r="C2" s="14"/>
      <c r="D2" s="14"/>
      <c r="E2" s="1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>
      <c r="A3" s="13" t="s">
        <v>3</v>
      </c>
      <c r="B3" s="14"/>
      <c r="C3" s="14"/>
      <c r="D3" s="14"/>
      <c r="E3" s="1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" customHeight="1">
      <c r="A4" s="13" t="s">
        <v>4</v>
      </c>
      <c r="B4" s="2"/>
      <c r="C4" s="2"/>
      <c r="D4" s="2"/>
      <c r="E4" s="2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customHeight="1">
      <c r="A5" s="3" t="s">
        <v>69</v>
      </c>
      <c r="B5" s="3"/>
      <c r="C5" s="3"/>
      <c r="D5" s="3"/>
      <c r="E5" s="3"/>
      <c r="F5" s="4"/>
      <c r="G5" s="6"/>
      <c r="H5" s="6"/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>
      <c r="A7" s="16" t="s">
        <v>6</v>
      </c>
      <c r="B7" s="16" t="s">
        <v>70</v>
      </c>
      <c r="C7" s="16" t="s">
        <v>71</v>
      </c>
      <c r="D7" s="16" t="s">
        <v>72</v>
      </c>
      <c r="E7" s="16" t="s">
        <v>73</v>
      </c>
      <c r="F7" s="16" t="s">
        <v>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>
      <c r="A8" s="16" t="s">
        <v>42</v>
      </c>
      <c r="B8" s="16" t="s">
        <v>74</v>
      </c>
      <c r="C8" s="16"/>
      <c r="D8" s="16"/>
      <c r="E8" s="16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>
      <c r="A9" s="8">
        <v>1</v>
      </c>
      <c r="B9" s="8" t="s">
        <v>75</v>
      </c>
      <c r="C9" s="8" t="s">
        <v>76</v>
      </c>
      <c r="D9" s="8">
        <v>1</v>
      </c>
      <c r="E9" s="43">
        <v>2000000</v>
      </c>
      <c r="F9" s="15">
        <f>E9*D9</f>
        <v>2000000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>
      <c r="A10" s="8">
        <v>2</v>
      </c>
      <c r="B10" s="8" t="s">
        <v>77</v>
      </c>
      <c r="C10" s="8" t="s">
        <v>76</v>
      </c>
      <c r="D10" s="8">
        <v>1</v>
      </c>
      <c r="E10" s="43">
        <v>3000000</v>
      </c>
      <c r="F10" s="15">
        <f>E10*D10</f>
        <v>3000000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>
      <c r="A11" s="8">
        <v>3</v>
      </c>
      <c r="B11" s="8" t="s">
        <v>78</v>
      </c>
      <c r="C11" s="8" t="s">
        <v>76</v>
      </c>
      <c r="D11" s="8">
        <v>1</v>
      </c>
      <c r="E11" s="43">
        <v>5000000</v>
      </c>
      <c r="F11" s="15">
        <f>E11*D11</f>
        <v>5000000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>
      <c r="A12" s="16" t="s">
        <v>49</v>
      </c>
      <c r="B12" s="16" t="s">
        <v>79</v>
      </c>
      <c r="C12" s="16"/>
      <c r="D12" s="16"/>
      <c r="E12" s="16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>
      <c r="A13" s="8">
        <v>1</v>
      </c>
      <c r="B13" s="8" t="s">
        <v>80</v>
      </c>
      <c r="C13" s="8" t="s">
        <v>76</v>
      </c>
      <c r="D13" s="44" t="s">
        <v>28</v>
      </c>
      <c r="E13" s="43">
        <v>500000</v>
      </c>
      <c r="F13" s="15">
        <v>3000000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>
      <c r="A14" s="8">
        <v>2</v>
      </c>
      <c r="B14" s="8" t="s">
        <v>81</v>
      </c>
      <c r="C14" s="8" t="s">
        <v>76</v>
      </c>
      <c r="D14" s="44" t="s">
        <v>28</v>
      </c>
      <c r="E14" s="43">
        <v>500000</v>
      </c>
      <c r="F14" s="15">
        <v>3000000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>
      <c r="A15" s="8">
        <v>3</v>
      </c>
      <c r="B15" s="8" t="s">
        <v>82</v>
      </c>
      <c r="C15" s="8" t="s">
        <v>76</v>
      </c>
      <c r="D15" s="8">
        <v>1</v>
      </c>
      <c r="E15" s="43">
        <v>3000000</v>
      </c>
      <c r="F15" s="15">
        <f>E15*D15</f>
        <v>3000000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>
      <c r="A16" s="8">
        <v>4</v>
      </c>
      <c r="B16" s="8" t="s">
        <v>83</v>
      </c>
      <c r="C16" s="8" t="s">
        <v>76</v>
      </c>
      <c r="D16" s="8">
        <v>1</v>
      </c>
      <c r="E16" s="43">
        <v>7000000</v>
      </c>
      <c r="F16" s="15">
        <f>E16*D16</f>
        <v>7000000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>
      <c r="A17" s="16" t="s">
        <v>54</v>
      </c>
      <c r="B17" s="16" t="s">
        <v>84</v>
      </c>
      <c r="C17" s="8"/>
      <c r="D17" s="8"/>
      <c r="E17" s="8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>
      <c r="A18" s="8">
        <v>1</v>
      </c>
      <c r="B18" s="8" t="s">
        <v>85</v>
      </c>
      <c r="C18" s="8" t="s">
        <v>76</v>
      </c>
      <c r="D18" s="8">
        <v>1</v>
      </c>
      <c r="E18" s="43">
        <v>5000000</v>
      </c>
      <c r="F18" s="15">
        <f>E18*D18</f>
        <v>5000000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>
      <c r="A19" s="8">
        <v>2</v>
      </c>
      <c r="B19" s="8" t="s">
        <v>86</v>
      </c>
      <c r="C19" s="8" t="s">
        <v>76</v>
      </c>
      <c r="D19" s="8">
        <v>1</v>
      </c>
      <c r="E19" s="43">
        <v>5000000</v>
      </c>
      <c r="F19" s="15">
        <f>E19*D19</f>
        <v>5000000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>
      <c r="A20" s="8">
        <v>3</v>
      </c>
      <c r="B20" s="8" t="s">
        <v>87</v>
      </c>
      <c r="C20" s="8" t="s">
        <v>76</v>
      </c>
      <c r="D20" s="8">
        <v>1</v>
      </c>
      <c r="E20" s="43">
        <v>5000000</v>
      </c>
      <c r="F20" s="15">
        <f>E20*D20</f>
        <v>5000000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>
      <c r="A21" s="8">
        <v>4</v>
      </c>
      <c r="B21" s="8" t="s">
        <v>88</v>
      </c>
      <c r="C21" s="8" t="s">
        <v>76</v>
      </c>
      <c r="D21" s="8">
        <v>1</v>
      </c>
      <c r="E21" s="43">
        <v>5000000</v>
      </c>
      <c r="F21" s="15">
        <f>E21*D21</f>
        <v>5000000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>
      <c r="A22" s="16" t="s">
        <v>60</v>
      </c>
      <c r="B22" s="16" t="s">
        <v>89</v>
      </c>
      <c r="C22" s="8"/>
      <c r="D22" s="8"/>
      <c r="E22" s="8"/>
      <c r="F22" s="1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>
      <c r="A23" s="8">
        <v>1</v>
      </c>
      <c r="B23" s="8" t="s">
        <v>90</v>
      </c>
      <c r="C23" s="8" t="s">
        <v>76</v>
      </c>
      <c r="D23" s="8">
        <v>1</v>
      </c>
      <c r="E23" s="43">
        <v>5000000</v>
      </c>
      <c r="F23" s="15">
        <f>E23*D23</f>
        <v>5000000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>
      <c r="A24" s="8">
        <v>2</v>
      </c>
      <c r="B24" s="8" t="s">
        <v>91</v>
      </c>
      <c r="C24" s="8" t="s">
        <v>76</v>
      </c>
      <c r="D24" s="8">
        <v>1</v>
      </c>
      <c r="E24" s="43">
        <v>5000000</v>
      </c>
      <c r="F24" s="15">
        <f>E24*D24</f>
        <v>5000000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>
      <c r="A25" s="8">
        <v>3</v>
      </c>
      <c r="B25" s="8" t="s">
        <v>92</v>
      </c>
      <c r="C25" s="8" t="s">
        <v>76</v>
      </c>
      <c r="D25" s="8">
        <v>1</v>
      </c>
      <c r="E25" s="43">
        <v>5000000</v>
      </c>
      <c r="F25" s="15">
        <f>E25*D25</f>
        <v>5000000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>
      <c r="A26" s="8">
        <v>4</v>
      </c>
      <c r="B26" s="8" t="s">
        <v>93</v>
      </c>
      <c r="C26" s="8" t="s">
        <v>76</v>
      </c>
      <c r="D26" s="8">
        <v>1</v>
      </c>
      <c r="E26" s="43">
        <v>5000000</v>
      </c>
      <c r="F26" s="15">
        <f>E26*D26</f>
        <v>5000000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>
      <c r="A27" s="16" t="s">
        <v>94</v>
      </c>
      <c r="B27" s="16" t="s">
        <v>95</v>
      </c>
      <c r="C27" s="8"/>
      <c r="D27" s="8"/>
      <c r="E27" s="8"/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>
      <c r="A28" s="8">
        <v>1</v>
      </c>
      <c r="B28" s="8" t="s">
        <v>96</v>
      </c>
      <c r="C28" s="8" t="s">
        <v>97</v>
      </c>
      <c r="D28" s="8">
        <v>2</v>
      </c>
      <c r="E28" s="43">
        <v>2000000</v>
      </c>
      <c r="F28" s="15">
        <f>E28*D28</f>
        <v>4000000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>
      <c r="A29" s="8">
        <v>2</v>
      </c>
      <c r="B29" s="8" t="s">
        <v>98</v>
      </c>
      <c r="C29" s="8" t="s">
        <v>76</v>
      </c>
      <c r="D29" s="8">
        <v>1</v>
      </c>
      <c r="E29" s="43">
        <v>2000000</v>
      </c>
      <c r="F29" s="15">
        <f>E29*D29</f>
        <v>2000000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>
      <c r="A30" s="8">
        <v>3</v>
      </c>
      <c r="B30" s="8" t="s">
        <v>99</v>
      </c>
      <c r="C30" s="8" t="s">
        <v>76</v>
      </c>
      <c r="D30" s="8">
        <v>1</v>
      </c>
      <c r="E30" s="43">
        <v>10000000</v>
      </c>
      <c r="F30" s="15">
        <f>E30*D30</f>
        <v>10000000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>
      <c r="A31" s="16" t="s">
        <v>100</v>
      </c>
      <c r="B31" s="16" t="s">
        <v>101</v>
      </c>
      <c r="C31" s="16"/>
      <c r="D31" s="16"/>
      <c r="E31" s="16"/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>
      <c r="A32" s="8">
        <v>1</v>
      </c>
      <c r="B32" s="8" t="s">
        <v>102</v>
      </c>
      <c r="C32" s="8" t="s">
        <v>76</v>
      </c>
      <c r="D32" s="8">
        <v>1</v>
      </c>
      <c r="E32" s="43">
        <v>10000000</v>
      </c>
      <c r="F32" s="15">
        <f>E32*D32</f>
        <v>10000000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>
      <c r="A33" s="8">
        <v>2</v>
      </c>
      <c r="B33" s="8" t="s">
        <v>103</v>
      </c>
      <c r="C33" s="8" t="s">
        <v>76</v>
      </c>
      <c r="D33" s="8">
        <v>1</v>
      </c>
      <c r="E33" s="43">
        <v>10000000</v>
      </c>
      <c r="F33" s="15">
        <f>E33*D33</f>
        <v>10000000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>
      <c r="A34" s="8"/>
      <c r="B34" s="8"/>
      <c r="C34" s="8"/>
      <c r="D34" s="8"/>
      <c r="E34" s="8"/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>
      <c r="A35" s="8"/>
      <c r="B35" s="16" t="s">
        <v>21</v>
      </c>
      <c r="C35" s="8"/>
      <c r="D35" s="8"/>
      <c r="E35" s="8"/>
      <c r="F35" s="15">
        <f>SUM(F9:F33)</f>
        <v>102000000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>
      <c r="A36" s="2"/>
      <c r="B36" s="2"/>
      <c r="C36" s="2"/>
      <c r="D36" s="2"/>
      <c r="E36" s="2"/>
      <c r="F36" s="1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>
      <c r="A37" s="11" t="s">
        <v>22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>
      <c r="A39" s="2"/>
      <c r="B39" s="2"/>
      <c r="C39" s="2"/>
      <c r="D39" s="2"/>
      <c r="E39" s="2"/>
      <c r="F39" s="48"/>
      <c r="G39" s="48"/>
      <c r="H39" s="4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>
      <c r="A40" s="13" t="s">
        <v>24</v>
      </c>
      <c r="B40" s="2"/>
      <c r="C40" s="2"/>
      <c r="D40" s="2"/>
      <c r="E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5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5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5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5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5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5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5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5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5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5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</sheetData>
  <mergeCells count="2">
    <mergeCell ref="A1:F1"/>
    <mergeCell ref="F39:H3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9A93-2C8B-4A9F-9C8D-FCE30B46C094}">
  <dimension ref="A1:X1017"/>
  <sheetViews>
    <sheetView tabSelected="1" topLeftCell="A39" workbookViewId="0">
      <selection activeCell="J95" sqref="J95"/>
    </sheetView>
  </sheetViews>
  <sheetFormatPr defaultColWidth="14.42578125" defaultRowHeight="15" customHeight="1"/>
  <cols>
    <col min="1" max="1" width="3.85546875" customWidth="1"/>
    <col min="2" max="2" width="6.5703125" customWidth="1"/>
    <col min="3" max="3" width="40.85546875" bestFit="1" customWidth="1"/>
    <col min="4" max="4" width="86.7109375" bestFit="1" customWidth="1"/>
    <col min="5" max="5" width="10.5703125" style="18" bestFit="1" customWidth="1"/>
    <col min="6" max="6" width="5" bestFit="1" customWidth="1"/>
    <col min="7" max="8" width="4" bestFit="1" customWidth="1"/>
    <col min="9" max="9" width="5" bestFit="1" customWidth="1"/>
    <col min="10" max="10" width="9.42578125" bestFit="1" customWidth="1"/>
    <col min="11" max="11" width="8" bestFit="1" customWidth="1"/>
    <col min="12" max="12" width="44.5703125" bestFit="1" customWidth="1"/>
    <col min="13" max="24" width="8" customWidth="1"/>
  </cols>
  <sheetData>
    <row r="1" spans="1:24" ht="11.25" customHeight="1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2" customHeight="1">
      <c r="A2" s="19"/>
      <c r="B2" s="51" t="s">
        <v>104</v>
      </c>
      <c r="C2" s="51" t="s">
        <v>105</v>
      </c>
      <c r="D2" s="51" t="s">
        <v>106</v>
      </c>
      <c r="E2" s="53" t="s">
        <v>71</v>
      </c>
      <c r="F2" s="49" t="s">
        <v>107</v>
      </c>
      <c r="G2" s="49" t="s">
        <v>108</v>
      </c>
      <c r="H2" s="49" t="s">
        <v>109</v>
      </c>
      <c r="I2" s="49" t="s">
        <v>110</v>
      </c>
      <c r="J2" s="49" t="s">
        <v>111</v>
      </c>
      <c r="K2" s="49" t="s">
        <v>112</v>
      </c>
      <c r="L2" s="49" t="s">
        <v>113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27" customHeight="1">
      <c r="A3" s="19"/>
      <c r="B3" s="52"/>
      <c r="C3" s="52"/>
      <c r="D3" s="52"/>
      <c r="E3" s="54"/>
      <c r="F3" s="50"/>
      <c r="G3" s="50"/>
      <c r="H3" s="50"/>
      <c r="I3" s="50"/>
      <c r="J3" s="50"/>
      <c r="K3" s="50"/>
      <c r="L3" s="50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2" customHeight="1">
      <c r="A4" s="19"/>
      <c r="B4" s="21"/>
      <c r="C4" s="24" t="s">
        <v>114</v>
      </c>
      <c r="D4" s="21"/>
      <c r="E4" s="29"/>
      <c r="F4" s="21"/>
      <c r="G4" s="21"/>
      <c r="H4" s="21"/>
      <c r="I4" s="21"/>
      <c r="J4" s="21"/>
      <c r="K4" s="21"/>
      <c r="L4" s="21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>
      <c r="A5" s="19"/>
      <c r="B5" s="21">
        <v>1</v>
      </c>
      <c r="C5" s="26" t="s">
        <v>115</v>
      </c>
      <c r="D5" s="25" t="s">
        <v>116</v>
      </c>
      <c r="E5" s="23" t="s">
        <v>117</v>
      </c>
      <c r="F5" s="21">
        <v>4.5</v>
      </c>
      <c r="G5" s="21">
        <v>5</v>
      </c>
      <c r="H5" s="21">
        <v>6</v>
      </c>
      <c r="I5" s="21">
        <f t="shared" ref="I5:I10" si="0">ROUND((F5+4*G5+H5)/6,1)</f>
        <v>5.0999999999999996</v>
      </c>
      <c r="J5" s="22">
        <v>0.1</v>
      </c>
      <c r="K5" s="21">
        <f t="shared" ref="K5:K10" si="1">I5+I5*J5</f>
        <v>5.6099999999999994</v>
      </c>
      <c r="L5" s="21" t="s">
        <v>118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1.25" customHeight="1">
      <c r="A6" s="19"/>
      <c r="B6" s="21">
        <v>2</v>
      </c>
      <c r="C6" s="26" t="s">
        <v>119</v>
      </c>
      <c r="D6" s="25" t="s">
        <v>120</v>
      </c>
      <c r="E6" s="23" t="s">
        <v>117</v>
      </c>
      <c r="F6" s="21">
        <v>0.5</v>
      </c>
      <c r="G6" s="21">
        <v>1</v>
      </c>
      <c r="H6" s="21">
        <v>1</v>
      </c>
      <c r="I6" s="21">
        <f t="shared" si="0"/>
        <v>0.9</v>
      </c>
      <c r="J6" s="22">
        <v>0.1</v>
      </c>
      <c r="K6" s="21">
        <f t="shared" si="1"/>
        <v>0.99</v>
      </c>
      <c r="L6" s="21" t="s">
        <v>118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1.25" customHeight="1">
      <c r="A7" s="19"/>
      <c r="B7" s="21">
        <v>3</v>
      </c>
      <c r="C7" s="26" t="s">
        <v>121</v>
      </c>
      <c r="D7" s="25" t="s">
        <v>122</v>
      </c>
      <c r="E7" s="23" t="s">
        <v>117</v>
      </c>
      <c r="F7" s="21">
        <v>0.5</v>
      </c>
      <c r="G7" s="21">
        <v>1</v>
      </c>
      <c r="H7" s="21">
        <v>1</v>
      </c>
      <c r="I7" s="21">
        <f t="shared" si="0"/>
        <v>0.9</v>
      </c>
      <c r="J7" s="22">
        <v>0.1</v>
      </c>
      <c r="K7" s="21">
        <f t="shared" si="1"/>
        <v>0.99</v>
      </c>
      <c r="L7" s="21" t="s">
        <v>118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1.25" customHeight="1">
      <c r="A8" s="19"/>
      <c r="B8" s="21">
        <v>4</v>
      </c>
      <c r="C8" s="26" t="s">
        <v>123</v>
      </c>
      <c r="D8" s="25" t="s">
        <v>124</v>
      </c>
      <c r="E8" s="23" t="s">
        <v>117</v>
      </c>
      <c r="F8" s="21">
        <v>0.5</v>
      </c>
      <c r="G8" s="21">
        <v>1</v>
      </c>
      <c r="H8" s="21">
        <v>1</v>
      </c>
      <c r="I8" s="21">
        <f t="shared" si="0"/>
        <v>0.9</v>
      </c>
      <c r="J8" s="22">
        <v>0.1</v>
      </c>
      <c r="K8" s="21">
        <f t="shared" si="1"/>
        <v>0.99</v>
      </c>
      <c r="L8" s="21" t="s">
        <v>118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>
      <c r="A9" s="19"/>
      <c r="B9" s="21">
        <v>5</v>
      </c>
      <c r="C9" s="26" t="s">
        <v>125</v>
      </c>
      <c r="D9" s="25" t="s">
        <v>126</v>
      </c>
      <c r="E9" s="23" t="s">
        <v>117</v>
      </c>
      <c r="F9" s="21">
        <v>1</v>
      </c>
      <c r="G9" s="21">
        <v>2</v>
      </c>
      <c r="H9" s="21">
        <v>2</v>
      </c>
      <c r="I9" s="21">
        <f t="shared" si="0"/>
        <v>1.8</v>
      </c>
      <c r="J9" s="22">
        <v>0.1</v>
      </c>
      <c r="K9" s="21">
        <f t="shared" si="1"/>
        <v>1.98</v>
      </c>
      <c r="L9" s="21" t="s">
        <v>118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1.25" customHeight="1">
      <c r="A10" s="19"/>
      <c r="B10" s="21">
        <v>6</v>
      </c>
      <c r="C10" s="26" t="s">
        <v>127</v>
      </c>
      <c r="D10" s="25" t="s">
        <v>128</v>
      </c>
      <c r="E10" s="23" t="s">
        <v>117</v>
      </c>
      <c r="F10" s="21">
        <v>0.5</v>
      </c>
      <c r="G10" s="21">
        <v>1</v>
      </c>
      <c r="H10" s="21">
        <v>1</v>
      </c>
      <c r="I10" s="21">
        <f t="shared" si="0"/>
        <v>0.9</v>
      </c>
      <c r="J10" s="22">
        <v>0.1</v>
      </c>
      <c r="K10" s="21">
        <f t="shared" si="1"/>
        <v>0.99</v>
      </c>
      <c r="L10" s="21" t="s">
        <v>118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2" customHeight="1">
      <c r="A11" s="19"/>
      <c r="B11" s="21"/>
      <c r="C11" s="24" t="s">
        <v>129</v>
      </c>
      <c r="D11" s="21"/>
      <c r="E11" s="23"/>
      <c r="F11" s="21"/>
      <c r="G11" s="21"/>
      <c r="H11" s="21"/>
      <c r="I11" s="21"/>
      <c r="J11" s="21"/>
      <c r="K11" s="21"/>
      <c r="L11" s="2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>
      <c r="A12" s="19"/>
      <c r="B12" s="21">
        <v>7</v>
      </c>
      <c r="C12" s="26" t="s">
        <v>130</v>
      </c>
      <c r="D12" s="21" t="s">
        <v>131</v>
      </c>
      <c r="E12" s="23" t="s">
        <v>117</v>
      </c>
      <c r="F12" s="21">
        <v>0.2</v>
      </c>
      <c r="G12" s="21">
        <v>0.4</v>
      </c>
      <c r="H12" s="21">
        <v>0.5</v>
      </c>
      <c r="I12" s="21">
        <f>ROUND((F12+4*G12+H12)/6,1)</f>
        <v>0.4</v>
      </c>
      <c r="J12" s="22">
        <v>0.1</v>
      </c>
      <c r="K12" s="21">
        <f>I12+I12*J12</f>
        <v>0.44000000000000006</v>
      </c>
      <c r="L12" s="21" t="s">
        <v>118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1.25" customHeight="1">
      <c r="A13" s="19"/>
      <c r="B13" s="21">
        <v>8</v>
      </c>
      <c r="C13" s="26" t="s">
        <v>132</v>
      </c>
      <c r="D13" s="25" t="s">
        <v>133</v>
      </c>
      <c r="E13" s="23" t="s">
        <v>117</v>
      </c>
      <c r="F13" s="21">
        <v>0.25</v>
      </c>
      <c r="G13" s="21">
        <v>0.4</v>
      </c>
      <c r="H13" s="21">
        <v>0.5</v>
      </c>
      <c r="I13" s="21">
        <f>ROUND((F13+4*G13+H13)/6,1)</f>
        <v>0.4</v>
      </c>
      <c r="J13" s="22">
        <v>0.1</v>
      </c>
      <c r="K13" s="21">
        <f>I13+I13*J13</f>
        <v>0.44000000000000006</v>
      </c>
      <c r="L13" s="21" t="s">
        <v>118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1.25" customHeight="1">
      <c r="A14" s="19"/>
      <c r="B14" s="21"/>
      <c r="C14" s="26" t="s">
        <v>134</v>
      </c>
      <c r="D14" s="25"/>
      <c r="E14" s="23"/>
      <c r="F14" s="21"/>
      <c r="G14" s="21"/>
      <c r="H14" s="21"/>
      <c r="I14" s="21"/>
      <c r="J14" s="21"/>
      <c r="K14" s="21"/>
      <c r="L14" s="21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1.25" customHeight="1">
      <c r="A15" s="19"/>
      <c r="B15" s="21">
        <v>9</v>
      </c>
      <c r="C15" s="27" t="s">
        <v>135</v>
      </c>
      <c r="D15" s="25" t="s">
        <v>136</v>
      </c>
      <c r="E15" s="23" t="s">
        <v>117</v>
      </c>
      <c r="F15" s="21">
        <v>0.1</v>
      </c>
      <c r="G15" s="21">
        <v>0.1</v>
      </c>
      <c r="H15" s="21">
        <v>0.2</v>
      </c>
      <c r="I15" s="21">
        <f>ROUND((F15+4*G15+H15)/6,1)</f>
        <v>0.1</v>
      </c>
      <c r="J15" s="22">
        <v>0.1</v>
      </c>
      <c r="K15" s="21">
        <f>I15+I15*J15</f>
        <v>0.11000000000000001</v>
      </c>
      <c r="L15" s="21" t="s">
        <v>118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1.25" customHeight="1">
      <c r="A16" s="19"/>
      <c r="B16" s="21">
        <v>10</v>
      </c>
      <c r="C16" s="27" t="s">
        <v>137</v>
      </c>
      <c r="D16" s="25" t="s">
        <v>138</v>
      </c>
      <c r="E16" s="23" t="s">
        <v>117</v>
      </c>
      <c r="F16" s="21">
        <v>0.1</v>
      </c>
      <c r="G16" s="21">
        <v>0.1</v>
      </c>
      <c r="H16" s="21">
        <v>0.2</v>
      </c>
      <c r="I16" s="21">
        <f>ROUND((F16+4*G16+H16)/6,1)</f>
        <v>0.1</v>
      </c>
      <c r="J16" s="22">
        <v>0.1</v>
      </c>
      <c r="K16" s="21">
        <f>I16+I16*J16</f>
        <v>0.11000000000000001</v>
      </c>
      <c r="L16" s="21" t="s">
        <v>118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1.25" customHeight="1">
      <c r="A17" s="19"/>
      <c r="B17" s="21">
        <v>11</v>
      </c>
      <c r="C17" s="27" t="s">
        <v>139</v>
      </c>
      <c r="D17" s="25" t="s">
        <v>140</v>
      </c>
      <c r="E17" s="23" t="s">
        <v>117</v>
      </c>
      <c r="F17" s="21">
        <v>0.1</v>
      </c>
      <c r="G17" s="21">
        <v>0.1</v>
      </c>
      <c r="H17" s="21">
        <v>0.2</v>
      </c>
      <c r="I17" s="21">
        <f>ROUND((F17+4*G17+H17)/6,1)</f>
        <v>0.1</v>
      </c>
      <c r="J17" s="22">
        <v>0.1</v>
      </c>
      <c r="K17" s="21">
        <f>I17+I17*J17</f>
        <v>0.11000000000000001</v>
      </c>
      <c r="L17" s="21" t="s">
        <v>118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1.25" customHeight="1">
      <c r="A18" s="19"/>
      <c r="B18" s="21"/>
      <c r="C18" s="26" t="s">
        <v>141</v>
      </c>
      <c r="D18" s="21"/>
      <c r="E18" s="23"/>
      <c r="F18" s="21"/>
      <c r="G18" s="21"/>
      <c r="H18" s="21"/>
      <c r="I18" s="21"/>
      <c r="J18" s="21"/>
      <c r="K18" s="21"/>
      <c r="L18" s="2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1.25" customHeight="1">
      <c r="A19" s="19"/>
      <c r="B19" s="21">
        <v>12</v>
      </c>
      <c r="C19" s="28" t="s">
        <v>142</v>
      </c>
      <c r="D19" s="25" t="s">
        <v>143</v>
      </c>
      <c r="E19" s="23" t="s">
        <v>117</v>
      </c>
      <c r="F19" s="21">
        <v>0.1</v>
      </c>
      <c r="G19" s="21">
        <v>0.1</v>
      </c>
      <c r="H19" s="21">
        <v>0.2</v>
      </c>
      <c r="I19" s="21">
        <f t="shared" ref="I19:I31" si="2">ROUND((F19+4*G19+H19)/6,1)</f>
        <v>0.1</v>
      </c>
      <c r="J19" s="22">
        <v>0.1</v>
      </c>
      <c r="K19" s="21">
        <f t="shared" ref="K19:K31" si="3">I19+I19*J19</f>
        <v>0.11000000000000001</v>
      </c>
      <c r="L19" s="21" t="s">
        <v>118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1.25" customHeight="1">
      <c r="A20" s="19"/>
      <c r="B20" s="21">
        <v>13</v>
      </c>
      <c r="C20" s="28" t="s">
        <v>144</v>
      </c>
      <c r="D20" s="25" t="s">
        <v>145</v>
      </c>
      <c r="E20" s="23" t="s">
        <v>117</v>
      </c>
      <c r="F20" s="21">
        <v>0.1</v>
      </c>
      <c r="G20" s="21">
        <v>0.1</v>
      </c>
      <c r="H20" s="21">
        <v>0.2</v>
      </c>
      <c r="I20" s="21">
        <f t="shared" si="2"/>
        <v>0.1</v>
      </c>
      <c r="J20" s="22">
        <v>0.1</v>
      </c>
      <c r="K20" s="21">
        <f t="shared" si="3"/>
        <v>0.11000000000000001</v>
      </c>
      <c r="L20" s="21" t="s">
        <v>118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1.25" customHeight="1">
      <c r="A21" s="19"/>
      <c r="B21" s="21">
        <v>14</v>
      </c>
      <c r="C21" s="28" t="s">
        <v>146</v>
      </c>
      <c r="D21" s="25" t="s">
        <v>147</v>
      </c>
      <c r="E21" s="23" t="s">
        <v>117</v>
      </c>
      <c r="F21" s="21">
        <v>0.1</v>
      </c>
      <c r="G21" s="21">
        <v>0.1</v>
      </c>
      <c r="H21" s="21">
        <v>0.2</v>
      </c>
      <c r="I21" s="21">
        <f t="shared" si="2"/>
        <v>0.1</v>
      </c>
      <c r="J21" s="22">
        <v>0.1</v>
      </c>
      <c r="K21" s="21">
        <f t="shared" si="3"/>
        <v>0.11000000000000001</v>
      </c>
      <c r="L21" s="21" t="s">
        <v>118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1.25" customHeight="1">
      <c r="A22" s="19"/>
      <c r="B22" s="21">
        <v>15</v>
      </c>
      <c r="C22" s="28" t="s">
        <v>148</v>
      </c>
      <c r="D22" s="25" t="s">
        <v>149</v>
      </c>
      <c r="E22" s="23" t="s">
        <v>117</v>
      </c>
      <c r="F22" s="21">
        <v>0.1</v>
      </c>
      <c r="G22" s="21">
        <v>0.1</v>
      </c>
      <c r="H22" s="21">
        <v>0.2</v>
      </c>
      <c r="I22" s="21">
        <f t="shared" si="2"/>
        <v>0.1</v>
      </c>
      <c r="J22" s="22">
        <v>0.1</v>
      </c>
      <c r="K22" s="21">
        <f t="shared" si="3"/>
        <v>0.11000000000000001</v>
      </c>
      <c r="L22" s="21" t="s">
        <v>118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1.25" customHeight="1">
      <c r="A23" s="19"/>
      <c r="B23" s="21">
        <v>16</v>
      </c>
      <c r="C23" s="28" t="s">
        <v>150</v>
      </c>
      <c r="D23" s="25" t="s">
        <v>151</v>
      </c>
      <c r="E23" s="23" t="s">
        <v>117</v>
      </c>
      <c r="F23" s="21">
        <v>0.1</v>
      </c>
      <c r="G23" s="21">
        <v>0.1</v>
      </c>
      <c r="H23" s="21">
        <v>0.2</v>
      </c>
      <c r="I23" s="21">
        <f t="shared" si="2"/>
        <v>0.1</v>
      </c>
      <c r="J23" s="22">
        <v>0.1</v>
      </c>
      <c r="K23" s="21">
        <f t="shared" si="3"/>
        <v>0.11000000000000001</v>
      </c>
      <c r="L23" s="21" t="s">
        <v>118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1.25" customHeight="1">
      <c r="A24" s="19"/>
      <c r="B24" s="21">
        <v>17</v>
      </c>
      <c r="C24" s="28" t="s">
        <v>152</v>
      </c>
      <c r="D24" s="25" t="s">
        <v>153</v>
      </c>
      <c r="E24" s="23" t="s">
        <v>117</v>
      </c>
      <c r="F24" s="21">
        <v>0.1</v>
      </c>
      <c r="G24" s="21">
        <v>0.1</v>
      </c>
      <c r="H24" s="21">
        <v>0.2</v>
      </c>
      <c r="I24" s="21">
        <f t="shared" si="2"/>
        <v>0.1</v>
      </c>
      <c r="J24" s="22">
        <v>0.1</v>
      </c>
      <c r="K24" s="21">
        <f t="shared" si="3"/>
        <v>0.11000000000000001</v>
      </c>
      <c r="L24" s="21" t="s">
        <v>118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1.25" customHeight="1">
      <c r="A25" s="19"/>
      <c r="B25" s="21">
        <v>18</v>
      </c>
      <c r="C25" s="28" t="s">
        <v>154</v>
      </c>
      <c r="D25" s="25" t="s">
        <v>155</v>
      </c>
      <c r="E25" s="23" t="s">
        <v>117</v>
      </c>
      <c r="F25" s="21">
        <v>0.1</v>
      </c>
      <c r="G25" s="21">
        <v>0.1</v>
      </c>
      <c r="H25" s="21">
        <v>0.2</v>
      </c>
      <c r="I25" s="21">
        <f t="shared" si="2"/>
        <v>0.1</v>
      </c>
      <c r="J25" s="22">
        <v>0.1</v>
      </c>
      <c r="K25" s="21">
        <f t="shared" si="3"/>
        <v>0.11000000000000001</v>
      </c>
      <c r="L25" s="21" t="s">
        <v>118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1.25" customHeight="1">
      <c r="A26" s="19"/>
      <c r="B26" s="21">
        <v>19</v>
      </c>
      <c r="C26" s="28" t="s">
        <v>156</v>
      </c>
      <c r="D26" s="25" t="s">
        <v>157</v>
      </c>
      <c r="E26" s="23" t="s">
        <v>117</v>
      </c>
      <c r="F26" s="21">
        <v>0.1</v>
      </c>
      <c r="G26" s="21">
        <v>0.1</v>
      </c>
      <c r="H26" s="21">
        <v>0.2</v>
      </c>
      <c r="I26" s="21">
        <f t="shared" si="2"/>
        <v>0.1</v>
      </c>
      <c r="J26" s="22">
        <v>0.1</v>
      </c>
      <c r="K26" s="21">
        <f t="shared" si="3"/>
        <v>0.11000000000000001</v>
      </c>
      <c r="L26" s="21" t="s">
        <v>118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1.25" customHeight="1">
      <c r="A27" s="19"/>
      <c r="B27" s="21">
        <v>20</v>
      </c>
      <c r="C27" s="28" t="s">
        <v>158</v>
      </c>
      <c r="D27" s="25" t="s">
        <v>159</v>
      </c>
      <c r="E27" s="23" t="s">
        <v>117</v>
      </c>
      <c r="F27" s="21">
        <v>0.1</v>
      </c>
      <c r="G27" s="21">
        <v>0.1</v>
      </c>
      <c r="H27" s="21">
        <v>0.2</v>
      </c>
      <c r="I27" s="21">
        <f t="shared" si="2"/>
        <v>0.1</v>
      </c>
      <c r="J27" s="22">
        <v>0.1</v>
      </c>
      <c r="K27" s="21">
        <f t="shared" si="3"/>
        <v>0.11000000000000001</v>
      </c>
      <c r="L27" s="21" t="s">
        <v>118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>
      <c r="A28" s="19"/>
      <c r="B28" s="21">
        <v>21</v>
      </c>
      <c r="C28" s="28" t="s">
        <v>160</v>
      </c>
      <c r="D28" s="25" t="s">
        <v>161</v>
      </c>
      <c r="E28" s="23" t="s">
        <v>117</v>
      </c>
      <c r="F28" s="21">
        <v>0.1</v>
      </c>
      <c r="G28" s="21">
        <v>0.1</v>
      </c>
      <c r="H28" s="21">
        <v>0.2</v>
      </c>
      <c r="I28" s="21">
        <f t="shared" si="2"/>
        <v>0.1</v>
      </c>
      <c r="J28" s="22">
        <v>0.1</v>
      </c>
      <c r="K28" s="21">
        <f t="shared" si="3"/>
        <v>0.11000000000000001</v>
      </c>
      <c r="L28" s="21" t="s">
        <v>118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1.25" customHeight="1">
      <c r="A29" s="19"/>
      <c r="B29" s="21">
        <v>22</v>
      </c>
      <c r="C29" s="28" t="s">
        <v>162</v>
      </c>
      <c r="D29" s="25" t="s">
        <v>163</v>
      </c>
      <c r="E29" s="23" t="s">
        <v>117</v>
      </c>
      <c r="F29" s="21">
        <v>0.1</v>
      </c>
      <c r="G29" s="21">
        <v>0.1</v>
      </c>
      <c r="H29" s="21">
        <v>0.2</v>
      </c>
      <c r="I29" s="21">
        <f t="shared" si="2"/>
        <v>0.1</v>
      </c>
      <c r="J29" s="22">
        <v>0.1</v>
      </c>
      <c r="K29" s="21">
        <f t="shared" si="3"/>
        <v>0.11000000000000001</v>
      </c>
      <c r="L29" s="21" t="s">
        <v>118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1.25" customHeight="1">
      <c r="A30" s="19"/>
      <c r="B30" s="21">
        <v>23</v>
      </c>
      <c r="C30" s="28" t="s">
        <v>164</v>
      </c>
      <c r="D30" s="25" t="s">
        <v>165</v>
      </c>
      <c r="E30" s="23" t="s">
        <v>117</v>
      </c>
      <c r="F30" s="21">
        <v>0.1</v>
      </c>
      <c r="G30" s="21">
        <v>0.1</v>
      </c>
      <c r="H30" s="21">
        <v>0.2</v>
      </c>
      <c r="I30" s="21">
        <f t="shared" si="2"/>
        <v>0.1</v>
      </c>
      <c r="J30" s="22">
        <v>0.1</v>
      </c>
      <c r="K30" s="21">
        <f t="shared" si="3"/>
        <v>0.11000000000000001</v>
      </c>
      <c r="L30" s="21" t="s">
        <v>118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1.25" customHeight="1">
      <c r="A31" s="19"/>
      <c r="B31" s="21">
        <v>24</v>
      </c>
      <c r="C31" s="26" t="s">
        <v>166</v>
      </c>
      <c r="D31" s="25" t="s">
        <v>167</v>
      </c>
      <c r="E31" s="23" t="s">
        <v>117</v>
      </c>
      <c r="F31" s="21">
        <v>0.1</v>
      </c>
      <c r="G31" s="21">
        <v>0.1</v>
      </c>
      <c r="H31" s="21">
        <v>0.2</v>
      </c>
      <c r="I31" s="21">
        <f t="shared" si="2"/>
        <v>0.1</v>
      </c>
      <c r="J31" s="22">
        <v>0.1</v>
      </c>
      <c r="K31" s="21">
        <f t="shared" si="3"/>
        <v>0.11000000000000001</v>
      </c>
      <c r="L31" s="21" t="s">
        <v>118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1.25" customHeight="1">
      <c r="A32" s="19"/>
      <c r="B32" s="21"/>
      <c r="C32" s="26" t="s">
        <v>168</v>
      </c>
      <c r="D32" s="21"/>
      <c r="E32" s="23"/>
      <c r="F32" s="21"/>
      <c r="G32" s="21"/>
      <c r="H32" s="21"/>
      <c r="I32" s="21"/>
      <c r="J32" s="21"/>
      <c r="K32" s="21"/>
      <c r="L32" s="21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1.25" customHeight="1">
      <c r="A33" s="19"/>
      <c r="B33" s="21">
        <v>25</v>
      </c>
      <c r="C33" s="27" t="s">
        <v>169</v>
      </c>
      <c r="D33" s="25" t="s">
        <v>170</v>
      </c>
      <c r="E33" s="23" t="s">
        <v>117</v>
      </c>
      <c r="F33" s="21">
        <v>0.1</v>
      </c>
      <c r="G33" s="21">
        <v>0.1</v>
      </c>
      <c r="H33" s="21">
        <v>0.2</v>
      </c>
      <c r="I33" s="21">
        <f t="shared" ref="I33:I44" si="4">ROUND((F33+4*G33+H33)/6,1)</f>
        <v>0.1</v>
      </c>
      <c r="J33" s="22">
        <v>0.1</v>
      </c>
      <c r="K33" s="21">
        <f t="shared" ref="K33:K44" si="5">I33+I33*J33</f>
        <v>0.11000000000000001</v>
      </c>
      <c r="L33" s="21" t="s">
        <v>118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>
      <c r="A34" s="19"/>
      <c r="B34" s="21">
        <v>26</v>
      </c>
      <c r="C34" s="27" t="s">
        <v>171</v>
      </c>
      <c r="D34" s="25" t="s">
        <v>172</v>
      </c>
      <c r="E34" s="23" t="s">
        <v>117</v>
      </c>
      <c r="F34" s="21">
        <v>0.1</v>
      </c>
      <c r="G34" s="21">
        <v>0.1</v>
      </c>
      <c r="H34" s="21">
        <v>0.2</v>
      </c>
      <c r="I34" s="21">
        <f t="shared" si="4"/>
        <v>0.1</v>
      </c>
      <c r="J34" s="22">
        <v>0.1</v>
      </c>
      <c r="K34" s="21">
        <f t="shared" si="5"/>
        <v>0.11000000000000001</v>
      </c>
      <c r="L34" s="21" t="s">
        <v>118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1.25" customHeight="1">
      <c r="A35" s="19"/>
      <c r="B35" s="21">
        <v>27</v>
      </c>
      <c r="C35" s="27" t="s">
        <v>173</v>
      </c>
      <c r="D35" s="25" t="s">
        <v>174</v>
      </c>
      <c r="E35" s="23" t="s">
        <v>117</v>
      </c>
      <c r="F35" s="21">
        <v>0.1</v>
      </c>
      <c r="G35" s="21">
        <v>0.1</v>
      </c>
      <c r="H35" s="21">
        <v>0.2</v>
      </c>
      <c r="I35" s="21">
        <f t="shared" si="4"/>
        <v>0.1</v>
      </c>
      <c r="J35" s="22">
        <v>0.1</v>
      </c>
      <c r="K35" s="21">
        <f t="shared" si="5"/>
        <v>0.11000000000000001</v>
      </c>
      <c r="L35" s="21" t="s">
        <v>118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1.25" customHeight="1">
      <c r="A36" s="19"/>
      <c r="B36" s="21">
        <v>28</v>
      </c>
      <c r="C36" s="27" t="s">
        <v>175</v>
      </c>
      <c r="D36" s="25" t="s">
        <v>176</v>
      </c>
      <c r="E36" s="23" t="s">
        <v>117</v>
      </c>
      <c r="F36" s="21">
        <v>0.1</v>
      </c>
      <c r="G36" s="21">
        <v>0.1</v>
      </c>
      <c r="H36" s="21">
        <v>0.2</v>
      </c>
      <c r="I36" s="21">
        <f t="shared" si="4"/>
        <v>0.1</v>
      </c>
      <c r="J36" s="22">
        <v>0.1</v>
      </c>
      <c r="K36" s="21">
        <f t="shared" si="5"/>
        <v>0.11000000000000001</v>
      </c>
      <c r="L36" s="21" t="s">
        <v>118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1.25" customHeight="1">
      <c r="A37" s="19"/>
      <c r="B37" s="21">
        <v>29</v>
      </c>
      <c r="C37" s="27" t="s">
        <v>177</v>
      </c>
      <c r="D37" s="25" t="s">
        <v>178</v>
      </c>
      <c r="E37" s="23" t="s">
        <v>117</v>
      </c>
      <c r="F37" s="21">
        <v>0.1</v>
      </c>
      <c r="G37" s="21">
        <v>0.1</v>
      </c>
      <c r="H37" s="21">
        <v>0.2</v>
      </c>
      <c r="I37" s="21">
        <f t="shared" si="4"/>
        <v>0.1</v>
      </c>
      <c r="J37" s="22">
        <v>0.1</v>
      </c>
      <c r="K37" s="21">
        <f t="shared" si="5"/>
        <v>0.11000000000000001</v>
      </c>
      <c r="L37" s="21" t="s">
        <v>118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1.25" customHeight="1">
      <c r="A38" s="19"/>
      <c r="B38" s="21">
        <v>30</v>
      </c>
      <c r="C38" s="27" t="s">
        <v>179</v>
      </c>
      <c r="D38" s="25" t="s">
        <v>180</v>
      </c>
      <c r="E38" s="23" t="s">
        <v>117</v>
      </c>
      <c r="F38" s="21">
        <v>0.1</v>
      </c>
      <c r="G38" s="21">
        <v>0.1</v>
      </c>
      <c r="H38" s="21">
        <v>0.2</v>
      </c>
      <c r="I38" s="21">
        <f t="shared" si="4"/>
        <v>0.1</v>
      </c>
      <c r="J38" s="22">
        <v>0.1</v>
      </c>
      <c r="K38" s="21">
        <f t="shared" si="5"/>
        <v>0.11000000000000001</v>
      </c>
      <c r="L38" s="21" t="s">
        <v>118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1.25" customHeight="1">
      <c r="A39" s="19"/>
      <c r="B39" s="21">
        <v>31</v>
      </c>
      <c r="C39" s="27" t="s">
        <v>181</v>
      </c>
      <c r="D39" s="25" t="s">
        <v>182</v>
      </c>
      <c r="E39" s="23" t="s">
        <v>117</v>
      </c>
      <c r="F39" s="21">
        <v>0.1</v>
      </c>
      <c r="G39" s="21">
        <v>0.1</v>
      </c>
      <c r="H39" s="21">
        <v>0.2</v>
      </c>
      <c r="I39" s="21">
        <f t="shared" si="4"/>
        <v>0.1</v>
      </c>
      <c r="J39" s="22">
        <v>0.1</v>
      </c>
      <c r="K39" s="21">
        <f t="shared" si="5"/>
        <v>0.11000000000000001</v>
      </c>
      <c r="L39" s="21" t="s">
        <v>118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1.25" customHeight="1">
      <c r="A40" s="19"/>
      <c r="B40" s="21">
        <v>32</v>
      </c>
      <c r="C40" s="27" t="s">
        <v>183</v>
      </c>
      <c r="D40" s="25" t="s">
        <v>184</v>
      </c>
      <c r="E40" s="23" t="s">
        <v>117</v>
      </c>
      <c r="F40" s="21">
        <v>0.1</v>
      </c>
      <c r="G40" s="21">
        <v>0.1</v>
      </c>
      <c r="H40" s="21">
        <v>0.2</v>
      </c>
      <c r="I40" s="21">
        <f t="shared" si="4"/>
        <v>0.1</v>
      </c>
      <c r="J40" s="22">
        <v>0.1</v>
      </c>
      <c r="K40" s="21">
        <f t="shared" si="5"/>
        <v>0.11000000000000001</v>
      </c>
      <c r="L40" s="21" t="s">
        <v>118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1.25" customHeight="1">
      <c r="A41" s="19"/>
      <c r="B41" s="21">
        <v>33</v>
      </c>
      <c r="C41" s="27" t="s">
        <v>185</v>
      </c>
      <c r="D41" s="25" t="s">
        <v>186</v>
      </c>
      <c r="E41" s="23" t="s">
        <v>117</v>
      </c>
      <c r="F41" s="21">
        <v>0.1</v>
      </c>
      <c r="G41" s="21">
        <v>0.1</v>
      </c>
      <c r="H41" s="21">
        <v>0.2</v>
      </c>
      <c r="I41" s="21">
        <f t="shared" si="4"/>
        <v>0.1</v>
      </c>
      <c r="J41" s="22">
        <v>0.1</v>
      </c>
      <c r="K41" s="21">
        <f t="shared" si="5"/>
        <v>0.11000000000000001</v>
      </c>
      <c r="L41" s="21" t="s">
        <v>118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1.25" customHeight="1">
      <c r="A42" s="19"/>
      <c r="B42" s="21">
        <v>34</v>
      </c>
      <c r="C42" s="27" t="s">
        <v>187</v>
      </c>
      <c r="D42" s="25" t="s">
        <v>188</v>
      </c>
      <c r="E42" s="23" t="s">
        <v>117</v>
      </c>
      <c r="F42" s="21">
        <v>0.1</v>
      </c>
      <c r="G42" s="21">
        <v>0.1</v>
      </c>
      <c r="H42" s="21">
        <v>0.2</v>
      </c>
      <c r="I42" s="21">
        <f t="shared" si="4"/>
        <v>0.1</v>
      </c>
      <c r="J42" s="22">
        <v>0.1</v>
      </c>
      <c r="K42" s="21">
        <f t="shared" si="5"/>
        <v>0.11000000000000001</v>
      </c>
      <c r="L42" s="21" t="s">
        <v>118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1.25" customHeight="1">
      <c r="A43" s="19"/>
      <c r="B43" s="21">
        <v>35</v>
      </c>
      <c r="C43" s="27" t="s">
        <v>189</v>
      </c>
      <c r="D43" s="25" t="s">
        <v>190</v>
      </c>
      <c r="E43" s="23" t="s">
        <v>117</v>
      </c>
      <c r="F43" s="21">
        <v>0.1</v>
      </c>
      <c r="G43" s="21">
        <v>0.1</v>
      </c>
      <c r="H43" s="21">
        <v>0.2</v>
      </c>
      <c r="I43" s="21">
        <f t="shared" si="4"/>
        <v>0.1</v>
      </c>
      <c r="J43" s="22">
        <v>0.1</v>
      </c>
      <c r="K43" s="21">
        <f t="shared" si="5"/>
        <v>0.11000000000000001</v>
      </c>
      <c r="L43" s="21" t="s">
        <v>118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1.25" customHeight="1">
      <c r="A44" s="19"/>
      <c r="B44" s="21">
        <v>36</v>
      </c>
      <c r="C44" s="27" t="s">
        <v>191</v>
      </c>
      <c r="D44" s="25" t="s">
        <v>192</v>
      </c>
      <c r="E44" s="23" t="s">
        <v>117</v>
      </c>
      <c r="F44" s="21">
        <v>0.1</v>
      </c>
      <c r="G44" s="21">
        <v>0.1</v>
      </c>
      <c r="H44" s="21">
        <v>0.2</v>
      </c>
      <c r="I44" s="21">
        <f t="shared" si="4"/>
        <v>0.1</v>
      </c>
      <c r="J44" s="22">
        <v>0.1</v>
      </c>
      <c r="K44" s="21">
        <f t="shared" si="5"/>
        <v>0.11000000000000001</v>
      </c>
      <c r="L44" s="21" t="s">
        <v>118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1.25" customHeight="1">
      <c r="A45" s="19"/>
      <c r="B45" s="21"/>
      <c r="C45" s="26" t="s">
        <v>193</v>
      </c>
      <c r="D45" s="21"/>
      <c r="E45" s="23"/>
      <c r="F45" s="21"/>
      <c r="G45" s="21"/>
      <c r="H45" s="21"/>
      <c r="I45" s="21"/>
      <c r="J45" s="22"/>
      <c r="K45" s="21"/>
      <c r="L45" s="21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1.25" customHeight="1">
      <c r="A46" s="19"/>
      <c r="B46" s="21">
        <v>37</v>
      </c>
      <c r="C46" s="27" t="s">
        <v>194</v>
      </c>
      <c r="D46" s="25" t="s">
        <v>195</v>
      </c>
      <c r="E46" s="23" t="s">
        <v>117</v>
      </c>
      <c r="F46" s="21">
        <v>0.1</v>
      </c>
      <c r="G46" s="21">
        <v>0.1</v>
      </c>
      <c r="H46" s="21">
        <v>0.2</v>
      </c>
      <c r="I46" s="21">
        <f t="shared" ref="I46:I57" si="6">ROUND((F46+4*G46+H46)/6,1)</f>
        <v>0.1</v>
      </c>
      <c r="J46" s="22">
        <v>0.1</v>
      </c>
      <c r="K46" s="21">
        <f t="shared" ref="K46:K57" si="7">I46+I46*J46</f>
        <v>0.11000000000000001</v>
      </c>
      <c r="L46" s="21" t="s">
        <v>118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1.25" customHeight="1">
      <c r="A47" s="19"/>
      <c r="B47" s="21">
        <v>38</v>
      </c>
      <c r="C47" s="27" t="s">
        <v>196</v>
      </c>
      <c r="D47" s="25" t="s">
        <v>197</v>
      </c>
      <c r="E47" s="23" t="s">
        <v>117</v>
      </c>
      <c r="F47" s="21">
        <v>0.1</v>
      </c>
      <c r="G47" s="21">
        <v>0.1</v>
      </c>
      <c r="H47" s="21">
        <v>0.2</v>
      </c>
      <c r="I47" s="21">
        <f t="shared" si="6"/>
        <v>0.1</v>
      </c>
      <c r="J47" s="22">
        <v>0.1</v>
      </c>
      <c r="K47" s="21">
        <f t="shared" si="7"/>
        <v>0.11000000000000001</v>
      </c>
      <c r="L47" s="21" t="s">
        <v>118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1.25" customHeight="1">
      <c r="A48" s="19"/>
      <c r="B48" s="21">
        <v>39</v>
      </c>
      <c r="C48" s="27" t="s">
        <v>198</v>
      </c>
      <c r="D48" s="25" t="s">
        <v>199</v>
      </c>
      <c r="E48" s="23" t="s">
        <v>117</v>
      </c>
      <c r="F48" s="21">
        <v>0.1</v>
      </c>
      <c r="G48" s="21">
        <v>0.1</v>
      </c>
      <c r="H48" s="21">
        <v>0.2</v>
      </c>
      <c r="I48" s="21">
        <f t="shared" si="6"/>
        <v>0.1</v>
      </c>
      <c r="J48" s="22">
        <v>0.1</v>
      </c>
      <c r="K48" s="21">
        <f t="shared" si="7"/>
        <v>0.11000000000000001</v>
      </c>
      <c r="L48" s="21" t="s">
        <v>118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1.25" customHeight="1">
      <c r="A49" s="19"/>
      <c r="B49" s="21">
        <v>40</v>
      </c>
      <c r="C49" s="27" t="s">
        <v>200</v>
      </c>
      <c r="D49" s="25" t="s">
        <v>201</v>
      </c>
      <c r="E49" s="23" t="s">
        <v>117</v>
      </c>
      <c r="F49" s="21">
        <v>0.1</v>
      </c>
      <c r="G49" s="21">
        <v>0.1</v>
      </c>
      <c r="H49" s="21">
        <v>0.2</v>
      </c>
      <c r="I49" s="21">
        <f t="shared" si="6"/>
        <v>0.1</v>
      </c>
      <c r="J49" s="22">
        <v>0.1</v>
      </c>
      <c r="K49" s="21">
        <f t="shared" si="7"/>
        <v>0.11000000000000001</v>
      </c>
      <c r="L49" s="21" t="s">
        <v>118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1.25" customHeight="1">
      <c r="A50" s="19"/>
      <c r="B50" s="21">
        <v>41</v>
      </c>
      <c r="C50" s="27" t="s">
        <v>202</v>
      </c>
      <c r="D50" s="25" t="s">
        <v>203</v>
      </c>
      <c r="E50" s="23" t="s">
        <v>117</v>
      </c>
      <c r="F50" s="21">
        <v>0.1</v>
      </c>
      <c r="G50" s="21">
        <v>0.1</v>
      </c>
      <c r="H50" s="21">
        <v>0.2</v>
      </c>
      <c r="I50" s="21">
        <f t="shared" si="6"/>
        <v>0.1</v>
      </c>
      <c r="J50" s="22">
        <v>0.1</v>
      </c>
      <c r="K50" s="21">
        <f t="shared" si="7"/>
        <v>0.11000000000000001</v>
      </c>
      <c r="L50" s="21" t="s">
        <v>118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1.25" customHeight="1">
      <c r="A51" s="19"/>
      <c r="B51" s="21">
        <v>42</v>
      </c>
      <c r="C51" s="27" t="s">
        <v>204</v>
      </c>
      <c r="D51" s="25" t="s">
        <v>205</v>
      </c>
      <c r="E51" s="23" t="s">
        <v>117</v>
      </c>
      <c r="F51" s="21">
        <v>0.1</v>
      </c>
      <c r="G51" s="21">
        <v>0.1</v>
      </c>
      <c r="H51" s="21">
        <v>0.2</v>
      </c>
      <c r="I51" s="21">
        <f t="shared" si="6"/>
        <v>0.1</v>
      </c>
      <c r="J51" s="22">
        <v>0.1</v>
      </c>
      <c r="K51" s="21">
        <f t="shared" si="7"/>
        <v>0.11000000000000001</v>
      </c>
      <c r="L51" s="21" t="s">
        <v>118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1.25" customHeight="1">
      <c r="A52" s="19"/>
      <c r="B52" s="21">
        <v>43</v>
      </c>
      <c r="C52" s="27" t="s">
        <v>206</v>
      </c>
      <c r="D52" s="25" t="s">
        <v>207</v>
      </c>
      <c r="E52" s="23" t="s">
        <v>117</v>
      </c>
      <c r="F52" s="21">
        <v>0.1</v>
      </c>
      <c r="G52" s="21">
        <v>0.1</v>
      </c>
      <c r="H52" s="21">
        <v>0.2</v>
      </c>
      <c r="I52" s="21">
        <f t="shared" si="6"/>
        <v>0.1</v>
      </c>
      <c r="J52" s="22">
        <v>0.1</v>
      </c>
      <c r="K52" s="21">
        <f t="shared" si="7"/>
        <v>0.11000000000000001</v>
      </c>
      <c r="L52" s="21" t="s">
        <v>118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1.25" customHeight="1">
      <c r="A53" s="19"/>
      <c r="B53" s="21">
        <v>44</v>
      </c>
      <c r="C53" s="27" t="s">
        <v>208</v>
      </c>
      <c r="D53" s="25" t="s">
        <v>209</v>
      </c>
      <c r="E53" s="23" t="s">
        <v>117</v>
      </c>
      <c r="F53" s="21">
        <v>0.1</v>
      </c>
      <c r="G53" s="21">
        <v>0.1</v>
      </c>
      <c r="H53" s="21">
        <v>0.2</v>
      </c>
      <c r="I53" s="21">
        <f t="shared" si="6"/>
        <v>0.1</v>
      </c>
      <c r="J53" s="22">
        <v>0.1</v>
      </c>
      <c r="K53" s="21">
        <f t="shared" si="7"/>
        <v>0.11000000000000001</v>
      </c>
      <c r="L53" s="21" t="s">
        <v>118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1.25" customHeight="1">
      <c r="A54" s="19"/>
      <c r="B54" s="21">
        <v>45</v>
      </c>
      <c r="C54" s="27" t="s">
        <v>210</v>
      </c>
      <c r="D54" s="25" t="s">
        <v>211</v>
      </c>
      <c r="E54" s="23" t="s">
        <v>117</v>
      </c>
      <c r="F54" s="21">
        <v>0.1</v>
      </c>
      <c r="G54" s="21">
        <v>0.1</v>
      </c>
      <c r="H54" s="21">
        <v>0.2</v>
      </c>
      <c r="I54" s="21">
        <f t="shared" si="6"/>
        <v>0.1</v>
      </c>
      <c r="J54" s="22">
        <v>0.1</v>
      </c>
      <c r="K54" s="21">
        <f t="shared" si="7"/>
        <v>0.11000000000000001</v>
      </c>
      <c r="L54" s="21" t="s">
        <v>118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1.25" customHeight="1">
      <c r="A55" s="19"/>
      <c r="B55" s="21">
        <v>46</v>
      </c>
      <c r="C55" s="27" t="s">
        <v>212</v>
      </c>
      <c r="D55" s="25" t="s">
        <v>213</v>
      </c>
      <c r="E55" s="23" t="s">
        <v>117</v>
      </c>
      <c r="F55" s="21">
        <v>0.1</v>
      </c>
      <c r="G55" s="21">
        <v>0.1</v>
      </c>
      <c r="H55" s="21">
        <v>0.2</v>
      </c>
      <c r="I55" s="21">
        <f t="shared" si="6"/>
        <v>0.1</v>
      </c>
      <c r="J55" s="22">
        <v>0.1</v>
      </c>
      <c r="K55" s="21">
        <f t="shared" si="7"/>
        <v>0.11000000000000001</v>
      </c>
      <c r="L55" s="21" t="s">
        <v>118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1.25" customHeight="1">
      <c r="A56" s="19"/>
      <c r="B56" s="21">
        <v>47</v>
      </c>
      <c r="C56" s="27" t="s">
        <v>214</v>
      </c>
      <c r="D56" s="25" t="s">
        <v>215</v>
      </c>
      <c r="E56" s="23" t="s">
        <v>117</v>
      </c>
      <c r="F56" s="21">
        <v>0.1</v>
      </c>
      <c r="G56" s="21">
        <v>0.1</v>
      </c>
      <c r="H56" s="21">
        <v>0.2</v>
      </c>
      <c r="I56" s="21">
        <f t="shared" si="6"/>
        <v>0.1</v>
      </c>
      <c r="J56" s="22">
        <v>0.1</v>
      </c>
      <c r="K56" s="21">
        <f t="shared" si="7"/>
        <v>0.11000000000000001</v>
      </c>
      <c r="L56" s="21" t="s">
        <v>118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1.25" customHeight="1">
      <c r="A57" s="19"/>
      <c r="B57" s="21">
        <v>48</v>
      </c>
      <c r="C57" s="27" t="s">
        <v>216</v>
      </c>
      <c r="D57" s="25" t="s">
        <v>217</v>
      </c>
      <c r="E57" s="23" t="s">
        <v>117</v>
      </c>
      <c r="F57" s="21">
        <v>0.1</v>
      </c>
      <c r="G57" s="21">
        <v>0.1</v>
      </c>
      <c r="H57" s="21">
        <v>0.2</v>
      </c>
      <c r="I57" s="21">
        <f t="shared" si="6"/>
        <v>0.1</v>
      </c>
      <c r="J57" s="22">
        <v>0.1</v>
      </c>
      <c r="K57" s="21">
        <f t="shared" si="7"/>
        <v>0.11000000000000001</v>
      </c>
      <c r="L57" s="21" t="s">
        <v>118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1.25" customHeight="1">
      <c r="A58" s="19"/>
      <c r="B58" s="21"/>
      <c r="C58" s="26" t="s">
        <v>218</v>
      </c>
      <c r="D58" s="21"/>
      <c r="E58" s="23"/>
      <c r="F58" s="21"/>
      <c r="G58" s="21"/>
      <c r="H58" s="21"/>
      <c r="I58" s="21"/>
      <c r="J58" s="21"/>
      <c r="K58" s="21"/>
      <c r="L58" s="21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1.25" customHeight="1">
      <c r="A59" s="19"/>
      <c r="B59" s="21">
        <v>49</v>
      </c>
      <c r="C59" s="27" t="s">
        <v>219</v>
      </c>
      <c r="D59" s="25" t="s">
        <v>220</v>
      </c>
      <c r="E59" s="23" t="s">
        <v>117</v>
      </c>
      <c r="F59" s="21">
        <v>0.4</v>
      </c>
      <c r="G59" s="21">
        <v>0.4</v>
      </c>
      <c r="H59" s="21">
        <v>0.5</v>
      </c>
      <c r="I59" s="21">
        <f>ROUND((F59+4*G59+H59)/6,1)</f>
        <v>0.4</v>
      </c>
      <c r="J59" s="22">
        <v>0.1</v>
      </c>
      <c r="K59" s="21">
        <f>I59+I59*J59</f>
        <v>0.44000000000000006</v>
      </c>
      <c r="L59" s="21" t="s">
        <v>118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1.25" customHeight="1">
      <c r="A60" s="19"/>
      <c r="B60" s="21">
        <v>50</v>
      </c>
      <c r="C60" s="27" t="s">
        <v>221</v>
      </c>
      <c r="D60" s="25" t="s">
        <v>222</v>
      </c>
      <c r="E60" s="23" t="s">
        <v>117</v>
      </c>
      <c r="F60" s="21">
        <v>0.4</v>
      </c>
      <c r="G60" s="21">
        <v>0.4</v>
      </c>
      <c r="H60" s="21">
        <v>0.5</v>
      </c>
      <c r="I60" s="21">
        <f>ROUND((F60+4*G60+H60)/6,1)</f>
        <v>0.4</v>
      </c>
      <c r="J60" s="22">
        <v>0.1</v>
      </c>
      <c r="K60" s="21">
        <f>I60+I60*J60</f>
        <v>0.44000000000000006</v>
      </c>
      <c r="L60" s="21" t="s">
        <v>118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1.25" customHeight="1">
      <c r="A61" s="19"/>
      <c r="B61" s="21">
        <v>51</v>
      </c>
      <c r="C61" s="26" t="s">
        <v>223</v>
      </c>
      <c r="D61" s="25" t="s">
        <v>224</v>
      </c>
      <c r="E61" s="23" t="s">
        <v>117</v>
      </c>
      <c r="F61" s="21">
        <v>0.5</v>
      </c>
      <c r="G61" s="21">
        <v>0.8</v>
      </c>
      <c r="H61" s="21">
        <v>1</v>
      </c>
      <c r="I61" s="21">
        <f>ROUND((F61+4*G61+H61)/6,1)</f>
        <v>0.8</v>
      </c>
      <c r="J61" s="22">
        <v>0.1</v>
      </c>
      <c r="K61" s="21">
        <f>I61+I61*J61</f>
        <v>0.88000000000000012</v>
      </c>
      <c r="L61" s="21" t="s">
        <v>118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1.25" customHeight="1">
      <c r="A62" s="19"/>
      <c r="B62" s="21">
        <v>52</v>
      </c>
      <c r="C62" s="26" t="s">
        <v>225</v>
      </c>
      <c r="D62" s="25" t="s">
        <v>226</v>
      </c>
      <c r="E62" s="23" t="s">
        <v>117</v>
      </c>
      <c r="F62" s="21">
        <v>0.5</v>
      </c>
      <c r="G62" s="21">
        <v>0.8</v>
      </c>
      <c r="H62" s="21">
        <v>1</v>
      </c>
      <c r="I62" s="21">
        <f>ROUND((F62+4*G62+H62)/6,1)</f>
        <v>0.8</v>
      </c>
      <c r="J62" s="22">
        <v>0.1</v>
      </c>
      <c r="K62" s="21">
        <f>I62+I62*J62</f>
        <v>0.88000000000000012</v>
      </c>
      <c r="L62" s="21" t="s">
        <v>118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2" customHeight="1">
      <c r="A63" s="19"/>
      <c r="B63" s="21"/>
      <c r="C63" s="24" t="s">
        <v>227</v>
      </c>
      <c r="D63" s="25"/>
      <c r="E63" s="23"/>
      <c r="F63" s="21"/>
      <c r="G63" s="21"/>
      <c r="H63" s="21"/>
      <c r="I63" s="21"/>
      <c r="J63" s="22"/>
      <c r="K63" s="21"/>
      <c r="L63" s="21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1.25" customHeight="1">
      <c r="A64" s="19"/>
      <c r="B64" s="21">
        <v>53</v>
      </c>
      <c r="C64" s="26" t="s">
        <v>228</v>
      </c>
      <c r="D64" s="25" t="s">
        <v>229</v>
      </c>
      <c r="E64" s="23" t="s">
        <v>117</v>
      </c>
      <c r="F64" s="21">
        <v>3.5</v>
      </c>
      <c r="G64" s="21">
        <v>4</v>
      </c>
      <c r="H64" s="21">
        <v>5</v>
      </c>
      <c r="I64" s="21">
        <f>ROUND((F64+4*G64+H64)/6,1)</f>
        <v>4.0999999999999996</v>
      </c>
      <c r="J64" s="22">
        <v>0.1</v>
      </c>
      <c r="K64" s="21">
        <f>I64+I64*J64</f>
        <v>4.51</v>
      </c>
      <c r="L64" s="21" t="s">
        <v>230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1.25" customHeight="1">
      <c r="A65" s="19"/>
      <c r="B65" s="21">
        <v>54</v>
      </c>
      <c r="C65" s="26" t="s">
        <v>231</v>
      </c>
      <c r="D65" s="25" t="s">
        <v>232</v>
      </c>
      <c r="E65" s="23" t="s">
        <v>117</v>
      </c>
      <c r="F65" s="21">
        <v>3.5</v>
      </c>
      <c r="G65" s="21">
        <v>4</v>
      </c>
      <c r="H65" s="21">
        <v>5</v>
      </c>
      <c r="I65" s="21">
        <f>ROUND((F65+4*G65+H65)/6,1)</f>
        <v>4.0999999999999996</v>
      </c>
      <c r="J65" s="22">
        <v>0.1</v>
      </c>
      <c r="K65" s="21">
        <f>I65+I65*J65</f>
        <v>4.51</v>
      </c>
      <c r="L65" s="21" t="s">
        <v>230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1.25" customHeight="1">
      <c r="A66" s="19"/>
      <c r="B66" s="21">
        <v>55</v>
      </c>
      <c r="C66" s="26" t="s">
        <v>233</v>
      </c>
      <c r="D66" s="25" t="s">
        <v>234</v>
      </c>
      <c r="E66" s="23" t="s">
        <v>117</v>
      </c>
      <c r="F66" s="21">
        <v>3.5</v>
      </c>
      <c r="G66" s="21">
        <v>4</v>
      </c>
      <c r="H66" s="21">
        <v>5</v>
      </c>
      <c r="I66" s="21">
        <f>ROUND((F66+4*G66+H66)/6,1)</f>
        <v>4.0999999999999996</v>
      </c>
      <c r="J66" s="22">
        <v>0.1</v>
      </c>
      <c r="K66" s="21">
        <f>I66+I66*J66</f>
        <v>4.51</v>
      </c>
      <c r="L66" s="21" t="s">
        <v>230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1.25" customHeight="1">
      <c r="A67" s="19"/>
      <c r="B67" s="21">
        <v>56</v>
      </c>
      <c r="C67" s="26" t="s">
        <v>235</v>
      </c>
      <c r="D67" s="25" t="s">
        <v>236</v>
      </c>
      <c r="E67" s="23" t="s">
        <v>117</v>
      </c>
      <c r="F67" s="21">
        <v>15</v>
      </c>
      <c r="G67" s="21">
        <v>18</v>
      </c>
      <c r="H67" s="21">
        <v>20</v>
      </c>
      <c r="I67" s="21">
        <f>ROUND((F67+4*G67+H67)/6,1)</f>
        <v>17.8</v>
      </c>
      <c r="J67" s="22">
        <v>0.1</v>
      </c>
      <c r="K67" s="21">
        <f>I67+I67*J67</f>
        <v>19.580000000000002</v>
      </c>
      <c r="L67" s="21" t="s">
        <v>230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1.25" customHeight="1">
      <c r="A68" s="19"/>
      <c r="B68" s="21"/>
      <c r="C68" s="26" t="s">
        <v>237</v>
      </c>
      <c r="D68" s="25"/>
      <c r="E68" s="23"/>
      <c r="F68" s="21"/>
      <c r="G68" s="21"/>
      <c r="H68" s="21"/>
      <c r="I68" s="21"/>
      <c r="J68" s="22"/>
      <c r="K68" s="21"/>
      <c r="L68" s="21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1.25" customHeight="1">
      <c r="A69" s="19"/>
      <c r="B69" s="21">
        <v>57</v>
      </c>
      <c r="C69" s="27" t="s">
        <v>238</v>
      </c>
      <c r="D69" s="25" t="s">
        <v>239</v>
      </c>
      <c r="E69" s="23" t="s">
        <v>117</v>
      </c>
      <c r="F69" s="21">
        <v>1.5</v>
      </c>
      <c r="G69" s="21">
        <v>3</v>
      </c>
      <c r="H69" s="21">
        <v>4</v>
      </c>
      <c r="I69" s="21">
        <f t="shared" ref="I69:I76" si="8">ROUND((F69+4*G69+H69)/6,1)</f>
        <v>2.9</v>
      </c>
      <c r="J69" s="22">
        <v>0.1</v>
      </c>
      <c r="K69" s="21">
        <f t="shared" ref="K69:K76" si="9">I69+I69*J69</f>
        <v>3.19</v>
      </c>
      <c r="L69" s="21" t="s">
        <v>230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1.25" customHeight="1">
      <c r="A70" s="19"/>
      <c r="B70" s="21">
        <v>58</v>
      </c>
      <c r="C70" s="27" t="s">
        <v>240</v>
      </c>
      <c r="D70" s="25" t="s">
        <v>241</v>
      </c>
      <c r="E70" s="23" t="s">
        <v>117</v>
      </c>
      <c r="F70" s="21">
        <v>1.5</v>
      </c>
      <c r="G70" s="21">
        <v>3</v>
      </c>
      <c r="H70" s="21">
        <v>4</v>
      </c>
      <c r="I70" s="21">
        <f t="shared" si="8"/>
        <v>2.9</v>
      </c>
      <c r="J70" s="22">
        <v>0.1</v>
      </c>
      <c r="K70" s="21">
        <f t="shared" si="9"/>
        <v>3.19</v>
      </c>
      <c r="L70" s="21" t="s">
        <v>230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1.25" customHeight="1">
      <c r="A71" s="19"/>
      <c r="B71" s="21">
        <v>59</v>
      </c>
      <c r="C71" s="27" t="s">
        <v>242</v>
      </c>
      <c r="D71" s="25" t="s">
        <v>243</v>
      </c>
      <c r="E71" s="23" t="s">
        <v>117</v>
      </c>
      <c r="F71" s="21">
        <v>1.5</v>
      </c>
      <c r="G71" s="21">
        <v>3</v>
      </c>
      <c r="H71" s="21">
        <v>4</v>
      </c>
      <c r="I71" s="21">
        <f t="shared" si="8"/>
        <v>2.9</v>
      </c>
      <c r="J71" s="22">
        <v>0.1</v>
      </c>
      <c r="K71" s="21">
        <f t="shared" si="9"/>
        <v>3.19</v>
      </c>
      <c r="L71" s="21" t="s">
        <v>230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1.25" customHeight="1">
      <c r="A72" s="19"/>
      <c r="B72" s="21">
        <v>60</v>
      </c>
      <c r="C72" s="27" t="s">
        <v>244</v>
      </c>
      <c r="D72" s="25" t="s">
        <v>245</v>
      </c>
      <c r="E72" s="23" t="s">
        <v>117</v>
      </c>
      <c r="F72" s="21">
        <v>1.5</v>
      </c>
      <c r="G72" s="21">
        <v>3</v>
      </c>
      <c r="H72" s="21">
        <v>4</v>
      </c>
      <c r="I72" s="21">
        <f t="shared" si="8"/>
        <v>2.9</v>
      </c>
      <c r="J72" s="22">
        <v>0.1</v>
      </c>
      <c r="K72" s="21">
        <f t="shared" si="9"/>
        <v>3.19</v>
      </c>
      <c r="L72" s="21" t="s">
        <v>230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1.25" customHeight="1">
      <c r="A73" s="19"/>
      <c r="B73" s="21">
        <v>61</v>
      </c>
      <c r="C73" s="27" t="s">
        <v>246</v>
      </c>
      <c r="D73" s="25" t="s">
        <v>247</v>
      </c>
      <c r="E73" s="23" t="s">
        <v>117</v>
      </c>
      <c r="F73" s="21">
        <v>1.5</v>
      </c>
      <c r="G73" s="21">
        <v>3</v>
      </c>
      <c r="H73" s="21">
        <v>4</v>
      </c>
      <c r="I73" s="21">
        <f t="shared" si="8"/>
        <v>2.9</v>
      </c>
      <c r="J73" s="22">
        <v>0.1</v>
      </c>
      <c r="K73" s="21">
        <f t="shared" si="9"/>
        <v>3.19</v>
      </c>
      <c r="L73" s="21" t="s">
        <v>230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1.25" customHeight="1">
      <c r="A74" s="19"/>
      <c r="B74" s="21">
        <v>62</v>
      </c>
      <c r="C74" s="27" t="s">
        <v>248</v>
      </c>
      <c r="D74" s="25" t="s">
        <v>249</v>
      </c>
      <c r="E74" s="23" t="s">
        <v>117</v>
      </c>
      <c r="F74" s="21">
        <v>1.5</v>
      </c>
      <c r="G74" s="21">
        <v>3</v>
      </c>
      <c r="H74" s="21">
        <v>4</v>
      </c>
      <c r="I74" s="21">
        <f t="shared" si="8"/>
        <v>2.9</v>
      </c>
      <c r="J74" s="22">
        <v>0.1</v>
      </c>
      <c r="K74" s="21">
        <f t="shared" si="9"/>
        <v>3.19</v>
      </c>
      <c r="L74" s="21" t="s">
        <v>230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1.25" customHeight="1">
      <c r="A75" s="19"/>
      <c r="B75" s="21">
        <v>63</v>
      </c>
      <c r="C75" s="27" t="s">
        <v>250</v>
      </c>
      <c r="D75" s="25" t="s">
        <v>251</v>
      </c>
      <c r="E75" s="23" t="s">
        <v>117</v>
      </c>
      <c r="F75" s="21">
        <v>1.5</v>
      </c>
      <c r="G75" s="21">
        <v>3</v>
      </c>
      <c r="H75" s="21">
        <v>4</v>
      </c>
      <c r="I75" s="21">
        <f t="shared" si="8"/>
        <v>2.9</v>
      </c>
      <c r="J75" s="22">
        <v>0.1</v>
      </c>
      <c r="K75" s="21">
        <f t="shared" si="9"/>
        <v>3.19</v>
      </c>
      <c r="L75" s="21" t="s">
        <v>230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1.25" customHeight="1">
      <c r="A76" s="19"/>
      <c r="B76" s="21">
        <v>64</v>
      </c>
      <c r="C76" s="26" t="s">
        <v>252</v>
      </c>
      <c r="D76" s="25" t="s">
        <v>253</v>
      </c>
      <c r="E76" s="23" t="s">
        <v>117</v>
      </c>
      <c r="F76" s="21">
        <v>1.5</v>
      </c>
      <c r="G76" s="21">
        <v>3</v>
      </c>
      <c r="H76" s="21">
        <v>3</v>
      </c>
      <c r="I76" s="21">
        <f t="shared" si="8"/>
        <v>2.8</v>
      </c>
      <c r="J76" s="22">
        <v>0.1</v>
      </c>
      <c r="K76" s="21">
        <f t="shared" si="9"/>
        <v>3.0799999999999996</v>
      </c>
      <c r="L76" s="21" t="s">
        <v>230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2" customHeight="1">
      <c r="A77" s="19"/>
      <c r="B77" s="21"/>
      <c r="C77" s="24" t="s">
        <v>254</v>
      </c>
      <c r="D77" s="25"/>
      <c r="E77" s="23"/>
      <c r="F77" s="21"/>
      <c r="G77" s="21"/>
      <c r="H77" s="21"/>
      <c r="I77" s="21"/>
      <c r="J77" s="22"/>
      <c r="K77" s="21"/>
      <c r="L77" s="21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1.25" customHeight="1">
      <c r="A78" s="19"/>
      <c r="B78" s="21"/>
      <c r="C78" s="26" t="s">
        <v>255</v>
      </c>
      <c r="D78" s="21"/>
      <c r="E78" s="23"/>
      <c r="F78" s="21"/>
      <c r="G78" s="21"/>
      <c r="H78" s="21"/>
      <c r="I78" s="21"/>
      <c r="J78" s="22"/>
      <c r="K78" s="21"/>
      <c r="L78" s="21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1.25" customHeight="1">
      <c r="A79" s="19"/>
      <c r="B79" s="21">
        <v>65</v>
      </c>
      <c r="C79" s="27" t="s">
        <v>256</v>
      </c>
      <c r="D79" s="25" t="s">
        <v>257</v>
      </c>
      <c r="E79" s="23" t="s">
        <v>117</v>
      </c>
      <c r="F79" s="21">
        <v>2</v>
      </c>
      <c r="G79" s="21">
        <v>3</v>
      </c>
      <c r="H79" s="21">
        <v>4</v>
      </c>
      <c r="I79" s="21">
        <f>ROUND((F79+4*G79+H79)/6,1)</f>
        <v>3</v>
      </c>
      <c r="J79" s="22">
        <v>0.1</v>
      </c>
      <c r="K79" s="21">
        <f>I79+I79*J79</f>
        <v>3.3</v>
      </c>
      <c r="L79" s="21" t="s">
        <v>230</v>
      </c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spans="1:24" ht="11.25" customHeight="1">
      <c r="A80" s="19"/>
      <c r="B80" s="21">
        <v>66</v>
      </c>
      <c r="C80" s="27" t="s">
        <v>258</v>
      </c>
      <c r="D80" s="25" t="s">
        <v>259</v>
      </c>
      <c r="E80" s="23" t="s">
        <v>117</v>
      </c>
      <c r="F80" s="21">
        <v>2</v>
      </c>
      <c r="G80" s="21">
        <v>3</v>
      </c>
      <c r="H80" s="21">
        <v>4</v>
      </c>
      <c r="I80" s="21">
        <f>ROUND((F80+4*G80+H80)/6,1)</f>
        <v>3</v>
      </c>
      <c r="J80" s="22">
        <v>0.1</v>
      </c>
      <c r="K80" s="21">
        <f>I80+I80*J80</f>
        <v>3.3</v>
      </c>
      <c r="L80" s="21" t="s">
        <v>230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spans="1:24" ht="11.25" customHeight="1">
      <c r="A81" s="19"/>
      <c r="B81" s="21">
        <v>67</v>
      </c>
      <c r="C81" s="26" t="s">
        <v>260</v>
      </c>
      <c r="D81" s="25" t="s">
        <v>261</v>
      </c>
      <c r="E81" s="23" t="s">
        <v>117</v>
      </c>
      <c r="F81" s="21">
        <v>2</v>
      </c>
      <c r="G81" s="21">
        <v>3</v>
      </c>
      <c r="H81" s="21">
        <v>5</v>
      </c>
      <c r="I81" s="21">
        <f>ROUND((F81+4*G81+H81)/6,1)</f>
        <v>3.2</v>
      </c>
      <c r="J81" s="22">
        <v>0.1</v>
      </c>
      <c r="K81" s="21">
        <f>I81+I81*J81</f>
        <v>3.5200000000000005</v>
      </c>
      <c r="L81" s="21" t="s">
        <v>230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1.25" customHeight="1">
      <c r="A82" s="19"/>
      <c r="B82" s="21">
        <v>68</v>
      </c>
      <c r="C82" s="26" t="s">
        <v>262</v>
      </c>
      <c r="D82" s="25" t="s">
        <v>263</v>
      </c>
      <c r="E82" s="23" t="s">
        <v>117</v>
      </c>
      <c r="F82" s="21">
        <v>3</v>
      </c>
      <c r="G82" s="21">
        <v>4</v>
      </c>
      <c r="H82" s="21">
        <v>5</v>
      </c>
      <c r="I82" s="21">
        <f>ROUND((F82+4*G82+H82)/6,1)</f>
        <v>4</v>
      </c>
      <c r="J82" s="22">
        <v>0.1</v>
      </c>
      <c r="K82" s="21">
        <f>I82+I82*J82</f>
        <v>4.4000000000000004</v>
      </c>
      <c r="L82" s="21" t="s">
        <v>230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2" customHeight="1">
      <c r="A83" s="19"/>
      <c r="B83" s="21"/>
      <c r="C83" s="24" t="s">
        <v>264</v>
      </c>
      <c r="D83" s="25"/>
      <c r="E83" s="23"/>
      <c r="F83" s="21"/>
      <c r="G83" s="21"/>
      <c r="H83" s="21"/>
      <c r="I83" s="21"/>
      <c r="J83" s="22"/>
      <c r="K83" s="21"/>
      <c r="L83" s="21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1.25" customHeight="1">
      <c r="A84" s="19"/>
      <c r="B84" s="21">
        <v>69</v>
      </c>
      <c r="C84" s="26" t="s">
        <v>265</v>
      </c>
      <c r="D84" s="25" t="s">
        <v>266</v>
      </c>
      <c r="E84" s="23" t="s">
        <v>117</v>
      </c>
      <c r="F84" s="21">
        <v>5</v>
      </c>
      <c r="G84" s="21">
        <v>5</v>
      </c>
      <c r="H84" s="21">
        <v>7</v>
      </c>
      <c r="I84" s="21">
        <f>ROUND((F84+4*G84+H84)/6,1)</f>
        <v>5.3</v>
      </c>
      <c r="J84" s="22">
        <v>0.1</v>
      </c>
      <c r="K84" s="21">
        <f>I84+I84*J84</f>
        <v>5.83</v>
      </c>
      <c r="L84" s="21" t="s">
        <v>230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spans="1:24" ht="11.25" customHeight="1">
      <c r="A85" s="19"/>
      <c r="B85" s="21">
        <v>70</v>
      </c>
      <c r="C85" s="26" t="s">
        <v>267</v>
      </c>
      <c r="D85" s="25" t="s">
        <v>268</v>
      </c>
      <c r="E85" s="23" t="s">
        <v>117</v>
      </c>
      <c r="F85" s="21">
        <v>2</v>
      </c>
      <c r="G85" s="21">
        <v>2</v>
      </c>
      <c r="H85" s="21">
        <v>3</v>
      </c>
      <c r="I85" s="21">
        <f>ROUND((F85+4*G85+H85)/6,1)</f>
        <v>2.2000000000000002</v>
      </c>
      <c r="J85" s="22">
        <v>0.1</v>
      </c>
      <c r="K85" s="21">
        <f>I85+I85*J85</f>
        <v>2.4200000000000004</v>
      </c>
      <c r="L85" s="21" t="s">
        <v>230</v>
      </c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ht="11.25" customHeight="1">
      <c r="A86" s="19"/>
      <c r="B86" s="21">
        <v>71</v>
      </c>
      <c r="C86" s="26" t="s">
        <v>269</v>
      </c>
      <c r="D86" s="25" t="s">
        <v>270</v>
      </c>
      <c r="E86" s="23" t="s">
        <v>117</v>
      </c>
      <c r="F86" s="21">
        <v>7</v>
      </c>
      <c r="G86" s="21">
        <v>7</v>
      </c>
      <c r="H86" s="21">
        <v>8</v>
      </c>
      <c r="I86" s="21">
        <f>ROUND((F86+4*G86+H86)/6,1)</f>
        <v>7.2</v>
      </c>
      <c r="J86" s="22">
        <v>0.1</v>
      </c>
      <c r="K86" s="21">
        <f>I86+I86*J86</f>
        <v>7.92</v>
      </c>
      <c r="L86" s="21" t="s">
        <v>230</v>
      </c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1:24" ht="12" customHeight="1">
      <c r="A87" s="19"/>
      <c r="B87" s="21">
        <v>72</v>
      </c>
      <c r="C87" s="24" t="s">
        <v>271</v>
      </c>
      <c r="D87" s="21" t="s">
        <v>272</v>
      </c>
      <c r="E87" s="23"/>
      <c r="F87" s="21"/>
      <c r="G87" s="21"/>
      <c r="H87" s="21"/>
      <c r="I87" s="21"/>
      <c r="J87" s="22"/>
      <c r="K87" s="21"/>
      <c r="L87" s="21" t="s">
        <v>230</v>
      </c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1:24" ht="11.2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spans="1:24" ht="11.2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24" ht="11.2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24" ht="11.2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24" ht="11.2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spans="1:24" ht="11.2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spans="1:24" ht="11.2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spans="1:24" ht="11.2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24" ht="11.2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ht="11.2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ht="11.2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ht="11.2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ht="11.2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ht="11.2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ht="11.2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ht="11.2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ht="11.2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ht="11.2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ht="11.2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ht="11.2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ht="11.2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ht="11.2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ht="11.2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ht="11.2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ht="11.2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ht="11.2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ht="11.2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ht="11.2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ht="11.2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ht="11.2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ht="11.2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ht="11.2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ht="11.2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ht="11.2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ht="11.2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ht="11.2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ht="11.2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ht="11.2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ht="11.2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ht="11.2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ht="11.2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ht="11.2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ht="11.2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1.2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ht="11.2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ht="11.2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ht="11.2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ht="11.2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ht="11.2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ht="11.2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ht="11.2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ht="11.2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ht="11.2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ht="11.2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ht="11.2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ht="11.2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ht="11.2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ht="11.2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ht="11.2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ht="11.2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1.2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1.2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1.2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1.2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1.2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1.2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1.2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1.2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1.2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1.2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1.2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1.2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1.2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1.2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1.2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1.2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1.2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1.2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1.2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1.2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1.2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1.2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1.2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1.2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1.2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1.2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1.2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1.2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1.2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1.2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1.2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1.2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1.2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1.2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1.2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1.2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1.2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1.2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1.2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1.2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1.2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1.2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1.2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1.2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1.2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1.2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1.2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1.2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1.2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1.2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1.2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1.2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1.2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1.2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1.2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1.2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1.2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1.2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1.2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1.2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ht="11.2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ht="11.2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ht="11.2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ht="11.2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ht="11.2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ht="11.2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ht="11.2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ht="11.2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ht="11.2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ht="11.2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1.2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1.2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spans="1:24" ht="11.2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1:24" ht="11.2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spans="1:24" ht="11.2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spans="1:24" ht="11.2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spans="1:24" ht="11.2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spans="1:24" ht="11.2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1:24" ht="11.2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spans="1:24" ht="11.2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4" ht="11.2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spans="1:24" ht="11.2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spans="1:24" ht="11.2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spans="1:24" ht="11.2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spans="1:24" ht="11.2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1:24" ht="11.2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4" ht="11.2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4" ht="11.2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4" ht="11.2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4" ht="11.2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spans="1:24" ht="11.2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ht="11.2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spans="1:24" ht="11.2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spans="1:24" ht="11.2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spans="1:24" ht="11.2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spans="1:24" ht="11.2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spans="1:24" ht="11.2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spans="1:24" ht="11.2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spans="1:24" ht="11.2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spans="1:24" ht="11.2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spans="1:24" ht="11.2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spans="1:24" ht="11.2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1:24" ht="11.2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spans="1:24" ht="11.2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spans="1:24" ht="11.2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spans="1:24" ht="11.2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spans="1:24" ht="11.2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spans="1:24" ht="11.2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spans="1:24" ht="11.2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spans="1:24" ht="11.2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spans="1:24" ht="11.2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spans="1:24" ht="11.2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1:24" ht="11.2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1:24" ht="11.2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1:24" ht="11.2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1:24" ht="11.2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1:24" ht="11.2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1:24" ht="11.2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1:24" ht="11.2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1:24" ht="11.2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1:24" ht="11.2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1:24" ht="11.2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1:24" ht="11.2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1:24" ht="11.2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1:24" ht="11.2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1:24" ht="11.2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1:24" ht="11.2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1:24" ht="11.2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1:24" ht="11.2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1:24" ht="11.2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1:24" ht="11.2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spans="1:24" ht="11.2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spans="1:24" ht="11.2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spans="1:24" ht="11.2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spans="1:24" ht="11.2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spans="1:24" ht="11.2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spans="1:24" ht="11.2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1:24" ht="11.2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spans="1:24" ht="11.2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spans="1:24" ht="11.2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spans="1:24" ht="11.2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ht="11.2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spans="1:24" ht="11.2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spans="1:24" ht="11.2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spans="1:24" ht="11.2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spans="1:24" ht="11.2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spans="1:24" ht="11.2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spans="1:24" ht="11.2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1:24" ht="11.2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spans="1:24" ht="11.2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spans="1:24" ht="11.2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spans="1:24" ht="11.2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spans="1:24" ht="11.2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spans="1:24" ht="11.2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spans="1:24" ht="11.2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spans="1:24" ht="11.2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spans="1:24" ht="11.2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spans="1:24" ht="11.2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ht="11.2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spans="1:24" ht="11.2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spans="1:24" ht="11.2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spans="1:24" ht="11.2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spans="1:24" ht="11.2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spans="1:24" ht="11.2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spans="1:24" ht="11.2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spans="1:24" ht="11.2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spans="1:24" ht="11.2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spans="1:24" ht="11.2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spans="1:24" ht="11.2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spans="1:24" ht="11.2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spans="1:24" ht="11.2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spans="1:24" ht="11.2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spans="1:24" ht="11.2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spans="1:24" ht="11.2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spans="1:24" ht="11.2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spans="1:24" ht="11.2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spans="1:24" ht="11.2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spans="1:24" ht="11.2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spans="1:24" ht="11.2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spans="1:24" ht="11.2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spans="1:24" ht="11.2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spans="1:24" ht="11.2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spans="1:24" ht="11.2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spans="1:24" ht="11.2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spans="1:24" ht="11.2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spans="1:24" ht="11.2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spans="1:24" ht="11.2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spans="1:24" ht="11.2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spans="1:24" ht="11.2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spans="1:24" ht="11.2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spans="1:24" ht="11.2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spans="1:24" ht="11.2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spans="1:24" ht="11.2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spans="1:24" ht="11.2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spans="1:24" ht="11.2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spans="1:24" ht="11.2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spans="1:24" ht="11.2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spans="1:24" ht="11.2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spans="1:24" ht="11.2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spans="1:24" ht="11.2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spans="1:24" ht="11.2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spans="1:24" ht="11.2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spans="1:24" ht="11.2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spans="1:24" ht="11.2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spans="1:24" ht="11.2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spans="1:24" ht="11.2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spans="1:24" ht="11.2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spans="1:24" ht="11.2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spans="1:24" ht="11.2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spans="1:24" ht="11.2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spans="1:24" ht="11.2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spans="1:24" ht="11.2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spans="1:24" ht="11.2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1:24" ht="11.2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spans="1:24" ht="11.2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spans="1:24" ht="11.2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spans="1:24" ht="11.2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spans="1:24" ht="11.2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spans="1:24" ht="11.2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spans="1:24" ht="11.2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spans="1:24" ht="11.2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spans="1:24" ht="11.2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spans="1:24" ht="11.2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spans="1:24" ht="11.2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spans="1:24" ht="11.2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spans="1:24" ht="11.2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spans="1:24" ht="11.2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spans="1:24" ht="11.2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spans="1:24" ht="11.2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spans="1:24" ht="11.2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spans="1:24" ht="11.2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spans="1:24" ht="11.2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spans="1:24" ht="11.2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spans="1:24" ht="11.2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spans="1:24" ht="11.2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spans="1:24" ht="11.2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spans="1:24" ht="11.2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spans="1:24" ht="11.2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spans="1:24" ht="11.2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spans="1:24" ht="11.2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spans="1:24" ht="11.2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spans="1:24" ht="11.2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spans="1:24" ht="11.2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spans="1:24" ht="11.2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spans="1:24" ht="11.2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spans="1:24" ht="11.2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spans="1:24" ht="11.2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spans="1:24" ht="11.2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spans="1:24" ht="11.2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spans="1:24" ht="11.2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spans="1:24" ht="11.2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spans="1:24" ht="11.2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spans="1:24" ht="11.2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spans="1:24" ht="11.2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spans="1:24" ht="11.2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spans="1:24" ht="11.2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spans="1:24" ht="11.2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spans="1:24" ht="11.2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spans="1:24" ht="11.2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spans="1:24" ht="11.2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spans="1:24" ht="11.2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spans="1:24" ht="11.2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spans="1:24" ht="11.2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spans="1:24" ht="11.2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spans="1:24" ht="11.2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spans="1:24" ht="11.2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spans="1:24" ht="11.2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spans="1:24" ht="11.2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spans="1:24" ht="11.2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spans="1:24" ht="11.2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spans="1:24" ht="11.2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spans="1:24" ht="11.2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spans="1:24" ht="11.2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spans="1:24" ht="11.2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spans="1:24" ht="11.2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spans="1:24" ht="11.2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spans="1:24" ht="11.2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spans="1:24" ht="11.2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spans="1:24" ht="11.2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spans="1:24" ht="11.2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spans="1:24" ht="11.2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spans="1:24" ht="11.2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spans="1:24" ht="11.2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spans="1:24" ht="11.2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spans="1:24" ht="11.2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spans="1:24" ht="11.2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spans="1:24" ht="11.2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spans="1:24" ht="11.2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spans="1:24" ht="11.2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spans="1:24" ht="11.2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spans="1:24" ht="11.2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spans="1:24" ht="11.2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spans="1:24" ht="11.2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spans="1:24" ht="11.2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spans="1:24" ht="11.2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spans="1:24" ht="11.2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spans="1:24" ht="11.2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spans="1:24" ht="11.2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spans="1:24" ht="11.2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spans="1:24" ht="11.2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spans="1:24" ht="11.2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spans="1:24" ht="11.2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spans="1:24" ht="11.2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spans="1:24" ht="11.2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spans="1:24" ht="11.2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spans="1:24" ht="11.2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spans="1:24" ht="11.2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spans="1:24" ht="11.2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spans="1:24" ht="11.2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spans="1:24" ht="11.2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spans="1:24" ht="11.2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spans="1:24" ht="11.2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spans="1:24" ht="11.2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spans="1:24" ht="11.2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spans="1:24" ht="11.2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spans="1:24" ht="11.2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spans="1:24" ht="11.2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spans="1:24" ht="11.2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spans="1:24" ht="11.2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spans="1:24" ht="11.2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spans="1:24" ht="11.2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spans="1:24" ht="11.2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spans="1:24" ht="11.2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spans="1:24" ht="11.2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spans="1:24" ht="11.2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spans="1:24" ht="11.2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spans="1:24" ht="11.2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spans="1:24" ht="11.2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spans="1:24" ht="11.2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spans="1:24" ht="11.2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spans="1:24" ht="11.2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spans="1:24" ht="11.2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spans="1:24" ht="11.2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spans="1:24" ht="11.2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spans="1:24" ht="11.2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spans="1:24" ht="11.2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spans="1:24" ht="11.2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spans="1:24" ht="11.2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spans="1:24" ht="11.2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spans="1:24" ht="11.2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spans="1:24" ht="11.2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spans="1:24" ht="11.2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spans="1:24" ht="11.2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spans="1:24" ht="11.2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spans="1:24" ht="11.2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spans="1:24" ht="11.2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spans="1:24" ht="11.2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spans="1:24" ht="11.2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spans="1:24" ht="11.2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spans="1:24" ht="11.2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spans="1:24" ht="11.2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spans="1:24" ht="11.2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spans="1:24" ht="11.2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spans="1:24" ht="11.2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spans="1:24" ht="11.2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spans="1:24" ht="11.2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spans="1:24" ht="11.2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spans="1:24" ht="11.2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spans="1:24" ht="11.2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spans="1:24" ht="11.2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spans="1:24" ht="11.2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spans="1:24" ht="11.2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spans="1:24" ht="11.2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spans="1:24" ht="11.2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spans="1:24" ht="11.2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spans="1:24" ht="11.2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spans="1:24" ht="11.2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spans="1:24" ht="11.2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spans="1:24" ht="11.2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spans="1:24" ht="11.2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spans="1:24" ht="11.2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spans="1:24" ht="11.2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spans="1:24" ht="11.2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spans="1:24" ht="11.2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spans="1:24" ht="11.2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spans="1:24" ht="11.2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spans="1:24" ht="11.2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spans="1:24" ht="11.2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spans="1:24" ht="11.2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spans="1:24" ht="11.2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spans="1:24" ht="11.2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1:24" ht="11.2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spans="1:24" ht="11.2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spans="1:24" ht="11.2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spans="1:24" ht="11.2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spans="1:24" ht="11.2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spans="1:24" ht="11.2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spans="1:24" ht="11.2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spans="1:24" ht="11.2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spans="1:24" ht="11.2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spans="1:24" ht="11.2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spans="1:24" ht="11.2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spans="1:24" ht="11.2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spans="1:24" ht="11.2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spans="1:24" ht="11.2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spans="1:24" ht="11.2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spans="1:24" ht="11.2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spans="1:24" ht="11.2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spans="1:24" ht="11.2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spans="1:24" ht="11.2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spans="1:24" ht="11.2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spans="1:24" ht="11.2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spans="1:24" ht="11.2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spans="1:24" ht="11.2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spans="1:24" ht="11.2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spans="1:24" ht="11.2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spans="1:24" ht="11.2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spans="1:24" ht="11.2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spans="1:24" ht="11.2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spans="1:24" ht="11.2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spans="1:24" ht="11.2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spans="1:24" ht="11.2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spans="1:24" ht="11.2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spans="1:24" ht="11.2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spans="1:24" ht="11.2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spans="1:24" ht="11.2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spans="1:24" ht="11.2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spans="1:24" ht="11.2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spans="1:24" ht="11.2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spans="1:24" ht="11.2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spans="1:24" ht="11.2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spans="1:24" ht="11.2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spans="1:24" ht="11.2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spans="1:24" ht="11.2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spans="1:24" ht="11.2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spans="1:24" ht="11.2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spans="1:24" ht="11.2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spans="1:24" ht="11.2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spans="1:24" ht="11.2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spans="1:24" ht="11.2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spans="1:24" ht="11.2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spans="1:24" ht="11.2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spans="1:24" ht="11.2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spans="1:24" ht="11.2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spans="1:24" ht="11.2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spans="1:24" ht="11.2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spans="1:24" ht="11.2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spans="1:24" ht="11.2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spans="1:24" ht="11.2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spans="1:24" ht="11.2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spans="1:24" ht="11.2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spans="1:24" ht="11.2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spans="1:24" ht="11.2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spans="1:24" ht="11.2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spans="1:24" ht="11.2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spans="1:24" ht="11.2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spans="1:24" ht="11.2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spans="1:24" ht="11.2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spans="1:24" ht="11.2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spans="1:24" ht="11.2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spans="1:24" ht="11.2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spans="1:24" ht="11.2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spans="1:24" ht="11.2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spans="1:24" ht="11.2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spans="1:24" ht="11.2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spans="1:24" ht="11.2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spans="1:24" ht="11.2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spans="1:24" ht="11.2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spans="1:24" ht="11.2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spans="1:24" ht="11.2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spans="1:24" ht="11.2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spans="1:24" ht="11.2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spans="1:24" ht="11.2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spans="1:24" ht="11.2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spans="1:24" ht="11.2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spans="1:24" ht="11.2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spans="1:24" ht="11.2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spans="1:24" ht="11.2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spans="1:24" ht="11.2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spans="1:24" ht="11.2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spans="1:24" ht="11.2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spans="1:24" ht="11.2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spans="1:24" ht="11.2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spans="1:24" ht="11.2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spans="1:24" ht="11.2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spans="1:24" ht="11.2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spans="1:24" ht="11.2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spans="1:24" ht="11.2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spans="1:24" ht="11.2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spans="1:24" ht="11.2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spans="1:24" ht="11.2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spans="1:24" ht="11.2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spans="1:24" ht="11.2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spans="1:24" ht="11.2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spans="1:24" ht="11.2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spans="1:24" ht="11.2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spans="1:24" ht="11.2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spans="1:24" ht="11.2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spans="1:24" ht="11.2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spans="1:24" ht="11.2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spans="1:24" ht="11.2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spans="1:24" ht="11.2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spans="1:24" ht="11.2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spans="1:24" ht="11.2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spans="1:24" ht="11.2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spans="1:24" ht="11.2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spans="1:24" ht="11.2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spans="1:24" ht="11.2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spans="1:24" ht="11.2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spans="1:24" ht="11.2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spans="1:24" ht="11.2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spans="1:24" ht="11.2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spans="1:24" ht="11.2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spans="1:24" ht="11.2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spans="1:24" ht="11.2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spans="1:24" ht="11.2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spans="1:24" ht="11.2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spans="1:24" ht="11.2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spans="1:24" ht="11.2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spans="1:24" ht="11.2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spans="1:24" ht="11.2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spans="1:24" ht="11.2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spans="1:24" ht="11.2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spans="1:24" ht="11.2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spans="1:24" ht="11.2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spans="1:24" ht="11.2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spans="1:24" ht="11.2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spans="1:24" ht="11.2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spans="1:24" ht="11.2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spans="1:24" ht="11.2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spans="1:24" ht="11.2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spans="1:24" ht="11.2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spans="1:24" ht="11.2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spans="1:24" ht="11.2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spans="1:24" ht="11.2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spans="1:24" ht="11.2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spans="1:24" ht="11.2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spans="1:24" ht="11.2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spans="1:24" ht="11.2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spans="1:24" ht="11.2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spans="1:24" ht="11.2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spans="1:24" ht="11.2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spans="1:24" ht="11.2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spans="1:24" ht="11.2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spans="1:24" ht="11.2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spans="1:24" ht="11.2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spans="1:24" ht="11.2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spans="1:24" ht="11.2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spans="1:24" ht="11.2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spans="1:24" ht="11.2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spans="1:24" ht="11.2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spans="1:24" ht="11.2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spans="1:24" ht="11.2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spans="1:24" ht="11.2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spans="1:24" ht="11.2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spans="1:24" ht="11.2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spans="1:24" ht="11.2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spans="1:24" ht="11.2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spans="1:24" ht="11.2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spans="1:24" ht="11.2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spans="1:24" ht="11.2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spans="1:24" ht="11.2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spans="1:24" ht="11.2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spans="1:24" ht="11.2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spans="1:24" ht="11.2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spans="1:24" ht="11.2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spans="1:24" ht="11.2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spans="1:24" ht="11.2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spans="1:24" ht="11.2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spans="1:24" ht="11.2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spans="1:24" ht="11.2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spans="1:24" ht="11.2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spans="1:24" ht="11.2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spans="1:24" ht="11.2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spans="1:24" ht="11.2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spans="1:24" ht="11.2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spans="1:24" ht="11.2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spans="1:24" ht="11.2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spans="1:24" ht="11.2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spans="1:24" ht="11.2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spans="1:24" ht="11.2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spans="1:24" ht="11.2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spans="1:24" ht="11.2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spans="1:24" ht="11.2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spans="1:24" ht="11.2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spans="1:24" ht="11.2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spans="1:24" ht="11.2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spans="1:24" ht="11.2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spans="1:24" ht="11.2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spans="1:24" ht="11.2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spans="1:24" ht="11.2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spans="1:24" ht="11.2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spans="1:24" ht="11.2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spans="1:24" ht="11.2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spans="1:24" ht="11.2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spans="1:24" ht="11.2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spans="1:24" ht="11.2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spans="1:24" ht="11.2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spans="1:24" ht="11.2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spans="1:24" ht="11.2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spans="1:24" ht="11.2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spans="1:24" ht="11.2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spans="1:24" ht="11.2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spans="1:24" ht="11.2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spans="1:24" ht="11.2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spans="1:24" ht="11.2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spans="1:24" ht="11.2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spans="1:24" ht="11.2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spans="1:24" ht="11.2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spans="1:24" ht="11.2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spans="1:24" ht="11.2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spans="1:24" ht="11.2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spans="1:24" ht="11.2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spans="1:24" ht="11.2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spans="1:24" ht="11.2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spans="1:24" ht="11.2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spans="1:24" ht="11.2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spans="1:24" ht="11.2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spans="1:24" ht="11.2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spans="1:24" ht="11.2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spans="1:24" ht="11.2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spans="1:24" ht="11.2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spans="1:24" ht="11.2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spans="1:24" ht="11.2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spans="1:24" ht="11.2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spans="1:24" ht="11.2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spans="1:24" ht="11.2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spans="1:24" ht="11.2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spans="1:24" ht="11.2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spans="1:24" ht="11.2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spans="1:24" ht="11.2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spans="1:24" ht="11.2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1:24" ht="11.2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spans="1:24" ht="11.2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spans="1:24" ht="11.2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spans="1:24" ht="11.2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spans="1:24" ht="11.2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spans="1:24" ht="11.2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spans="1:24" ht="11.2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spans="1:24" ht="11.2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spans="1:24" ht="11.2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spans="1:24" ht="11.2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spans="1:24" ht="11.2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spans="1:24" ht="11.2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spans="1:24" ht="11.2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spans="1:24" ht="11.2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spans="1:24" ht="11.2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spans="1:24" ht="11.2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spans="1:24" ht="11.2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spans="1:24" ht="11.2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spans="1:24" ht="11.2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spans="1:24" ht="11.2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spans="1:24" ht="11.2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spans="1:24" ht="11.2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spans="1:24" ht="11.2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spans="1:24" ht="11.2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spans="1:24" ht="11.2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spans="1:24" ht="11.2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spans="1:24" ht="11.2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spans="1:24" ht="11.2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spans="1:24" ht="11.2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spans="1:24" ht="11.2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spans="1:24" ht="11.2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spans="1:24" ht="11.2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spans="1:24" ht="11.2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spans="1:24" ht="11.2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spans="1:24" ht="11.2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spans="1:24" ht="11.2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spans="1:24" ht="11.2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spans="1:24" ht="11.2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spans="1:24" ht="11.2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spans="1:24" ht="11.2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spans="1:24" ht="11.2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spans="1:24" ht="11.2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spans="1:24" ht="11.2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spans="1:24" ht="11.2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spans="1:24" ht="11.2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spans="1:24" ht="11.2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spans="1:24" ht="11.2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spans="1:24" ht="11.2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spans="1:24" ht="11.2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spans="1:24" ht="11.2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spans="1:24" ht="11.2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spans="1:24" ht="11.2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spans="1:24" ht="11.2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spans="1:24" ht="11.2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spans="1:24" ht="11.2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spans="1:24" ht="11.2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spans="1:24" ht="11.2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spans="1:24" ht="11.2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spans="1:24" ht="11.2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spans="1:24" ht="11.2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spans="1:24" ht="11.2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spans="1:24" ht="11.2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spans="1:24" ht="11.2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spans="1:24" ht="11.2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spans="1:24" ht="11.2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spans="1:24" ht="11.2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spans="1:24" ht="11.2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spans="1:24" ht="11.2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spans="1:24" ht="11.2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spans="1:24" ht="11.2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spans="1:24" ht="11.2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spans="1:24" ht="11.2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spans="1:24" ht="11.2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spans="1:24" ht="11.2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spans="1:24" ht="11.2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spans="1:24" ht="11.2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spans="1:24" ht="11.2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spans="1:24" ht="11.2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spans="1:24" ht="11.2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spans="1:24" ht="11.2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spans="1:24" ht="11.2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spans="1:24" ht="11.2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spans="1:24" ht="11.2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spans="1:24" ht="11.2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spans="1:24" ht="11.2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spans="1:24" ht="11.2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spans="1:24" ht="11.2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spans="1:24" ht="11.2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spans="1:24" ht="11.2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spans="1:24" ht="11.2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spans="1:24" ht="11.2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spans="1:24" ht="11.2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spans="1:24" ht="11.2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spans="1:24" ht="11.2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spans="1:24" ht="11.2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spans="1:24" ht="11.2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spans="1:24" ht="11.2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spans="1:24" ht="11.2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spans="1:24" ht="11.2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spans="1:24" ht="11.2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spans="1:24" ht="11.2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spans="1:24" ht="11.2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spans="1:24" ht="11.2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spans="1:24" ht="11.2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spans="1:24" ht="11.2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spans="1:24" ht="11.2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spans="1:24" ht="11.2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spans="1:24" ht="11.2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spans="1:24" ht="11.2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1:24" ht="11.2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spans="1:24" ht="11.2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spans="1:24" ht="11.2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spans="1:24" ht="11.2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spans="1:24" ht="11.2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spans="1:24" ht="11.2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spans="1:24" ht="11.2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spans="1:24" ht="11.2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spans="1:24" ht="11.2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spans="1:24" ht="11.2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spans="1:24" ht="11.2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spans="1:24" ht="11.2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spans="1:24" ht="11.2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spans="1:24" ht="11.2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spans="1:24" ht="11.2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spans="1:24" ht="11.2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spans="1:24" ht="11.2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spans="1:24" ht="11.2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spans="1:24" ht="11.2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spans="1:24" ht="11.2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spans="1:24" ht="11.2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spans="1:24" ht="11.2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spans="1:24" ht="11.2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spans="1:24" ht="11.2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spans="1:24" ht="11.2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spans="1:24" ht="11.2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spans="1:24" ht="11.2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spans="1:24" ht="11.2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spans="1:24" ht="11.2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spans="1:24" ht="11.2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spans="1:24" ht="11.2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spans="1:24" ht="11.2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spans="1:24" ht="11.2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spans="1:24" ht="11.2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spans="1:24" ht="11.2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spans="1:24" ht="11.2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spans="1:24" ht="11.2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spans="1:24" ht="11.2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spans="1:24" ht="11.2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spans="1:24" ht="11.2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spans="1:24" ht="11.2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spans="1:24" ht="11.2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spans="1:24" ht="11.2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spans="1:24" ht="11.2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spans="1:24" ht="11.2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spans="1:24" ht="11.2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spans="1:24" ht="11.2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spans="1:24" ht="11.2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spans="1:24" ht="11.2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spans="1:24" ht="11.2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spans="1:24" ht="11.2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spans="1:24" ht="11.2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spans="1:24" ht="11.2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spans="1:24" ht="11.2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spans="1:24" ht="11.2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spans="1:24" ht="11.2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spans="1:24" ht="11.2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spans="1:24" ht="11.2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spans="1:24" ht="11.2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spans="1:24" ht="11.2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spans="1:24" ht="11.2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spans="1:24" ht="11.2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spans="1:24" ht="11.2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spans="1:24" ht="11.2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spans="1:24" ht="11.2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spans="1:24" ht="11.2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spans="1:24" ht="11.2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spans="1:24" ht="11.2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spans="1:24" ht="11.2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spans="1:24" ht="11.2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spans="1:24" ht="11.2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spans="1:24" ht="11.2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spans="1:24" ht="11.2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spans="1:24" ht="11.2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spans="1:24" ht="11.2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spans="1:24" ht="11.2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spans="1:24" ht="11.2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spans="1:24" ht="11.2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spans="1:24" ht="11.2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spans="1:24" ht="11.2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spans="1:24" ht="11.2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spans="1:24" ht="11.2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spans="1:24" ht="11.2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spans="1:24" ht="11.2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spans="1:24" ht="11.2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spans="1:24" ht="11.2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spans="1:24" ht="11.2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spans="1:24" ht="11.2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spans="1:24" ht="11.2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spans="1:24" ht="11.2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spans="1:24" ht="11.2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spans="1:24" ht="11.2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spans="1:24" ht="11.2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spans="1:24" ht="11.2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spans="1:24" ht="11.2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spans="1:24" ht="11.2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spans="1:24" ht="11.2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spans="1:24" ht="11.2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spans="1:24" ht="11.2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spans="1:24" ht="11.2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spans="1:24" ht="11.2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spans="1:24" ht="11.2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spans="1:24" ht="11.2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spans="1:24" ht="11.2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spans="1:24" ht="11.2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spans="1:24" ht="11.2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 spans="1:24" ht="11.2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 spans="1:24" ht="11.2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 spans="1:24" ht="11.2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spans="1:24" ht="11.2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 spans="1:24" ht="11.2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 spans="1:24" ht="11.2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 spans="1:24" ht="11.2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 spans="1:24" ht="11.2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 spans="1:24" ht="11.2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 spans="1:24" ht="11.2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 spans="1:24" ht="11.2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 spans="1:24" ht="11.2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 spans="1:24" ht="11.2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 spans="1:24" ht="11.2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 spans="1:24" ht="11.2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 spans="1:24" ht="11.2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  <row r="1001" spans="1:24" ht="11.25" customHeight="1">
      <c r="A1001" s="19"/>
      <c r="B1001" s="19"/>
      <c r="C1001" s="19"/>
      <c r="D1001" s="19"/>
      <c r="E1001" s="20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</row>
    <row r="1002" spans="1:24" ht="11.25" customHeight="1">
      <c r="A1002" s="19"/>
      <c r="B1002" s="19"/>
      <c r="C1002" s="19"/>
      <c r="D1002" s="19"/>
      <c r="E1002" s="20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</row>
    <row r="1003" spans="1:24" ht="11.25" customHeight="1">
      <c r="A1003" s="19"/>
      <c r="B1003" s="19"/>
      <c r="C1003" s="19"/>
      <c r="D1003" s="19"/>
      <c r="E1003" s="20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</row>
    <row r="1004" spans="1:24" ht="11.25" customHeight="1">
      <c r="A1004" s="19"/>
      <c r="B1004" s="19"/>
      <c r="C1004" s="19"/>
      <c r="D1004" s="19"/>
      <c r="E1004" s="20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</row>
    <row r="1005" spans="1:24" ht="11.25" customHeight="1">
      <c r="A1005" s="19"/>
      <c r="B1005" s="19"/>
      <c r="C1005" s="19"/>
      <c r="D1005" s="19"/>
      <c r="E1005" s="20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</row>
    <row r="1006" spans="1:24" ht="11.25" customHeight="1">
      <c r="A1006" s="19"/>
      <c r="B1006" s="19"/>
      <c r="C1006" s="19"/>
      <c r="D1006" s="19"/>
      <c r="E1006" s="20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</row>
    <row r="1007" spans="1:24" ht="11.25" customHeight="1">
      <c r="A1007" s="19"/>
      <c r="B1007" s="19"/>
      <c r="C1007" s="19"/>
      <c r="D1007" s="19"/>
      <c r="E1007" s="20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</row>
    <row r="1008" spans="1:24" ht="11.25" customHeight="1">
      <c r="A1008" s="19"/>
      <c r="B1008" s="19"/>
      <c r="C1008" s="19"/>
      <c r="D1008" s="19"/>
      <c r="E1008" s="20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</row>
    <row r="1009" spans="1:24" ht="11.25" customHeight="1">
      <c r="A1009" s="19"/>
      <c r="B1009" s="19"/>
      <c r="C1009" s="19"/>
      <c r="D1009" s="19"/>
      <c r="E1009" s="20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</row>
    <row r="1010" spans="1:24" ht="11.25" customHeight="1">
      <c r="A1010" s="19"/>
      <c r="B1010" s="19"/>
      <c r="C1010" s="19"/>
      <c r="D1010" s="19"/>
      <c r="E1010" s="20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</row>
    <row r="1011" spans="1:24" ht="11.25" customHeight="1">
      <c r="A1011" s="19"/>
      <c r="B1011" s="19"/>
      <c r="C1011" s="19"/>
      <c r="D1011" s="19"/>
      <c r="E1011" s="20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</row>
    <row r="1012" spans="1:24" ht="11.25" customHeight="1">
      <c r="A1012" s="19"/>
      <c r="B1012" s="19"/>
      <c r="C1012" s="19"/>
      <c r="D1012" s="19"/>
      <c r="E1012" s="20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</row>
    <row r="1013" spans="1:24" ht="11.25" customHeight="1">
      <c r="A1013" s="19"/>
      <c r="B1013" s="19"/>
      <c r="C1013" s="19"/>
      <c r="D1013" s="19"/>
      <c r="E1013" s="20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</row>
    <row r="1014" spans="1:24" ht="11.25" customHeight="1">
      <c r="A1014" s="19"/>
      <c r="B1014" s="19"/>
      <c r="C1014" s="19"/>
      <c r="D1014" s="19"/>
      <c r="E1014" s="20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</row>
    <row r="1015" spans="1:24" ht="11.25" customHeight="1">
      <c r="A1015" s="19"/>
      <c r="B1015" s="19"/>
      <c r="C1015" s="19"/>
      <c r="D1015" s="19"/>
      <c r="E1015" s="20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</row>
    <row r="1016" spans="1:24" ht="11.25" customHeight="1">
      <c r="A1016" s="19"/>
      <c r="B1016" s="19"/>
      <c r="C1016" s="19"/>
      <c r="D1016" s="19"/>
      <c r="E1016" s="20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</row>
    <row r="1017" spans="1:24" ht="11.25" customHeight="1">
      <c r="A1017" s="19"/>
      <c r="B1017" s="19"/>
      <c r="C1017" s="19"/>
      <c r="D1017" s="19"/>
      <c r="E1017" s="20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</row>
  </sheetData>
  <mergeCells count="11">
    <mergeCell ref="B2:B3"/>
    <mergeCell ref="C2:C3"/>
    <mergeCell ref="D2:D3"/>
    <mergeCell ref="E2:E3"/>
    <mergeCell ref="F2:F3"/>
    <mergeCell ref="L2:L3"/>
    <mergeCell ref="G2:G3"/>
    <mergeCell ref="H2:H3"/>
    <mergeCell ref="I2:I3"/>
    <mergeCell ref="J2:J3"/>
    <mergeCell ref="K2:K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A68FE-62C0-4B86-8F10-F72EAE80FE34}"/>
</file>

<file path=customXml/itemProps2.xml><?xml version="1.0" encoding="utf-8"?>
<ds:datastoreItem xmlns:ds="http://schemas.openxmlformats.org/officeDocument/2006/customXml" ds:itemID="{3528274C-7C4A-4AB5-AFA6-2175A5CC3DE3}"/>
</file>

<file path=customXml/itemProps3.xml><?xml version="1.0" encoding="utf-8"?>
<ds:datastoreItem xmlns:ds="http://schemas.openxmlformats.org/officeDocument/2006/customXml" ds:itemID="{C5E3FD06-F255-458D-BD4B-5777E4A96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hoalt</dc:creator>
  <cp:keywords/>
  <dc:description/>
  <cp:lastModifiedBy>Tran Phuong Anh 202490031</cp:lastModifiedBy>
  <cp:revision/>
  <dcterms:created xsi:type="dcterms:W3CDTF">2016-11-30T13:58:05Z</dcterms:created>
  <dcterms:modified xsi:type="dcterms:W3CDTF">2026-09-18T11:36:11Z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