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t239253_sis_hust_edu_vn/Documents/S3-IT PROJECT MANAGEMENT/01. Group assignment/"/>
    </mc:Choice>
  </mc:AlternateContent>
  <xr:revisionPtr revIDLastSave="188" documentId="11_CEB1CC8AA048ED75CEA199D3E3E42346A7B0DCB5" xr6:coauthVersionLast="47" xr6:coauthVersionMax="47" xr10:uidLastSave="{32DDDA61-9E97-4753-8331-38077F6712CD}"/>
  <bookViews>
    <workbookView xWindow="-98" yWindow="-98" windowWidth="23236" windowHeight="13875" firstSheet="5" activeTab="3" xr2:uid="{00000000-000D-0000-FFFF-FFFF00000000}"/>
  </bookViews>
  <sheets>
    <sheet name="CÔNG VIỆC" sheetId="1" r:id="rId1"/>
    <sheet name="DỰ TOÁN" sheetId="3" r:id="rId2"/>
    <sheet name="CÔNG LAO ĐỘNG" sheetId="2" r:id="rId3"/>
    <sheet name="THIẾT BỊ VẬT TỰ" sheetId="4" r:id="rId4"/>
    <sheet name="CHI PHÍ KHÁC" sheetId="5" r:id="rId5"/>
    <sheet name="KẾ HOẠCH THANH TOÁ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D28" i="6"/>
  <c r="C28" i="6"/>
  <c r="F27" i="6"/>
  <c r="F26" i="6"/>
  <c r="F25" i="6"/>
  <c r="F24" i="6"/>
  <c r="F23" i="6"/>
  <c r="F22" i="6"/>
  <c r="F21" i="6"/>
  <c r="G25" i="6" s="1"/>
  <c r="B21" i="6"/>
  <c r="B22" i="6" s="1"/>
  <c r="F17" i="6"/>
  <c r="J17" i="6" s="1"/>
  <c r="H16" i="6"/>
  <c r="H15" i="6"/>
  <c r="H14" i="6"/>
  <c r="H13" i="6"/>
  <c r="H12" i="6"/>
  <c r="H11" i="6"/>
  <c r="D6" i="6"/>
  <c r="F21" i="4"/>
  <c r="F19" i="4"/>
  <c r="F18" i="4"/>
  <c r="F17" i="4"/>
  <c r="F16" i="4"/>
  <c r="F14" i="4"/>
  <c r="F13" i="4"/>
  <c r="F12" i="4"/>
  <c r="F11" i="4"/>
  <c r="F10" i="4"/>
  <c r="F22" i="4" s="1"/>
  <c r="C16" i="3"/>
  <c r="F14" i="2"/>
  <c r="I44" i="1" s="1"/>
  <c r="J44" i="1" s="1"/>
  <c r="D14" i="2"/>
  <c r="G14" i="2" s="1"/>
  <c r="F13" i="2"/>
  <c r="I33" i="1" s="1"/>
  <c r="J33" i="1" s="1"/>
  <c r="D13" i="2"/>
  <c r="G13" i="2" s="1"/>
  <c r="F12" i="2"/>
  <c r="D12" i="2"/>
  <c r="G12" i="2" s="1"/>
  <c r="F11" i="2"/>
  <c r="I65" i="1" s="1"/>
  <c r="J65" i="1" s="1"/>
  <c r="D11" i="2"/>
  <c r="G11" i="2" s="1"/>
  <c r="F10" i="2"/>
  <c r="I66" i="1" s="1"/>
  <c r="J66" i="1" s="1"/>
  <c r="D10" i="2"/>
  <c r="G10" i="2" s="1"/>
  <c r="F9" i="2"/>
  <c r="I22" i="1" s="1"/>
  <c r="J22" i="1" s="1"/>
  <c r="D9" i="2"/>
  <c r="G9" i="2" s="1"/>
  <c r="H70" i="1"/>
  <c r="B19" i="2" s="1"/>
  <c r="I69" i="1"/>
  <c r="J69" i="1" s="1"/>
  <c r="I68" i="1"/>
  <c r="J68" i="1" s="1"/>
  <c r="I67" i="1"/>
  <c r="J67" i="1" s="1"/>
  <c r="I62" i="1"/>
  <c r="J62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2" i="1"/>
  <c r="J52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2" i="1"/>
  <c r="J42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25" i="1"/>
  <c r="J25" i="1" s="1"/>
  <c r="I24" i="1"/>
  <c r="J24" i="1" s="1"/>
  <c r="I23" i="1"/>
  <c r="J23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G24" i="6" l="1"/>
  <c r="G12" i="6"/>
  <c r="G16" i="6"/>
  <c r="G15" i="6"/>
  <c r="G14" i="6"/>
  <c r="G13" i="6"/>
  <c r="E33" i="6"/>
  <c r="C10" i="3"/>
  <c r="H22" i="6"/>
  <c r="G15" i="2"/>
  <c r="I29" i="1"/>
  <c r="J29" i="1" s="1"/>
  <c r="I8" i="1"/>
  <c r="J8" i="1" s="1"/>
  <c r="I19" i="1"/>
  <c r="J19" i="1" s="1"/>
  <c r="I30" i="1"/>
  <c r="J30" i="1" s="1"/>
  <c r="I41" i="1"/>
  <c r="J41" i="1" s="1"/>
  <c r="I63" i="1"/>
  <c r="J63" i="1" s="1"/>
  <c r="G22" i="6"/>
  <c r="I26" i="1"/>
  <c r="J26" i="1" s="1"/>
  <c r="B23" i="6"/>
  <c r="I27" i="1"/>
  <c r="J27" i="1" s="1"/>
  <c r="G23" i="6"/>
  <c r="D15" i="2"/>
  <c r="I51" i="1"/>
  <c r="J51" i="1" s="1"/>
  <c r="I64" i="1"/>
  <c r="J64" i="1" s="1"/>
  <c r="G26" i="6"/>
  <c r="I28" i="1"/>
  <c r="J28" i="1" s="1"/>
  <c r="I61" i="1"/>
  <c r="J61" i="1" s="1"/>
  <c r="G27" i="6"/>
  <c r="G28" i="6" s="1"/>
  <c r="I9" i="1"/>
  <c r="J9" i="1" s="1"/>
  <c r="I20" i="1"/>
  <c r="J20" i="1" s="1"/>
  <c r="I53" i="1"/>
  <c r="J53" i="1" s="1"/>
  <c r="I10" i="1"/>
  <c r="J10" i="1" s="1"/>
  <c r="I21" i="1"/>
  <c r="J21" i="1" s="1"/>
  <c r="I32" i="1"/>
  <c r="J32" i="1" s="1"/>
  <c r="I43" i="1"/>
  <c r="J43" i="1" s="1"/>
  <c r="G11" i="6"/>
  <c r="F28" i="6"/>
  <c r="G21" i="6"/>
  <c r="I60" i="1"/>
  <c r="J60" i="1" s="1"/>
  <c r="I31" i="1"/>
  <c r="J31" i="1" s="1"/>
  <c r="I11" i="1"/>
  <c r="J11" i="1" s="1"/>
  <c r="H23" i="6" l="1"/>
  <c r="B24" i="6"/>
  <c r="I13" i="6"/>
  <c r="I11" i="6"/>
  <c r="G17" i="6"/>
  <c r="I15" i="6"/>
  <c r="I14" i="6"/>
  <c r="I12" i="6"/>
  <c r="I16" i="6"/>
  <c r="J70" i="1"/>
  <c r="B21" i="2" s="1"/>
  <c r="H21" i="6"/>
  <c r="B20" i="2"/>
  <c r="F15" i="2"/>
  <c r="E32" i="6"/>
  <c r="H13" i="2"/>
  <c r="H11" i="2"/>
  <c r="C9" i="3"/>
  <c r="B22" i="2"/>
  <c r="D20" i="5"/>
  <c r="D21" i="5" s="1"/>
  <c r="H10" i="2"/>
  <c r="H9" i="2"/>
  <c r="H14" i="2"/>
  <c r="H12" i="2"/>
  <c r="H15" i="2"/>
  <c r="C11" i="3" l="1"/>
  <c r="E34" i="6"/>
  <c r="C12" i="3"/>
  <c r="C17" i="3" s="1"/>
  <c r="C19" i="3"/>
  <c r="C20" i="3" s="1"/>
  <c r="I21" i="6"/>
  <c r="J21" i="6" s="1"/>
  <c r="I23" i="6"/>
  <c r="J23" i="6" s="1"/>
  <c r="I22" i="6"/>
  <c r="J22" i="6" s="1"/>
  <c r="B25" i="6"/>
  <c r="H24" i="6"/>
  <c r="H25" i="6" l="1"/>
  <c r="B26" i="6"/>
  <c r="I24" i="6"/>
  <c r="J24" i="6" s="1"/>
  <c r="H26" i="6" l="1"/>
  <c r="I26" i="6" s="1"/>
  <c r="J26" i="6" s="1"/>
  <c r="B27" i="6"/>
  <c r="H27" i="6" s="1"/>
  <c r="H28" i="6" s="1"/>
  <c r="E35" i="6" s="1"/>
  <c r="I25" i="6"/>
  <c r="J25" i="6" s="1"/>
  <c r="I27" i="6" l="1"/>
  <c r="I28" i="6" l="1"/>
  <c r="J27" i="6"/>
  <c r="J28" i="6" l="1"/>
  <c r="E36" i="6"/>
  <c r="E37" i="6"/>
  <c r="E38" i="6"/>
</calcChain>
</file>

<file path=xl/sharedStrings.xml><?xml version="1.0" encoding="utf-8"?>
<sst xmlns="http://schemas.openxmlformats.org/spreadsheetml/2006/main" count="686" uniqueCount="369">
  <si>
    <t>BẢNG KINH PHÍ CÔNG VIỆC (WORK COST BREAKDOWN)
HỆ THỐNG QUẢN LÝ VÀ KẾT NỐI DỮ LIỆU DỰ ÁN XÂY DỰNG</t>
  </si>
  <si>
    <t>Mã số đề tài: CNTT20261_N10  |  Học phần: Quản trị dự án CNTT - Nhóm 10  |  Trường Công nghệ Thông tin và Truyền thông - ĐHBK Hà Nội</t>
  </si>
  <si>
    <t>Kinh phí công lao động theo 55 gói công việc WBS thuộc 06 giai đoạn. Định mức/ngày công tra tự động từ sheet CongLaoDong bằng hàm VLOOKUP.</t>
  </si>
  <si>
    <t>TT</t>
  </si>
  <si>
    <t>Các nội dung, công việc thực hiện (WBS)</t>
  </si>
  <si>
    <t>Sản phẩm bàn giao</t>
  </si>
  <si>
    <t>Thời gian thực hiện</t>
  </si>
  <si>
    <t>Giai đoạn / Nhóm quy trình</t>
  </si>
  <si>
    <t>Chức danh</t>
  </si>
  <si>
    <t>Người thực hiện</t>
  </si>
  <si>
    <t>Số ngày công</t>
  </si>
  <si>
    <t>Định mức
(đ/ngày công)</t>
  </si>
  <si>
    <t>Thành tiền (đ)</t>
  </si>
  <si>
    <t>WBS-01. Khảo sát hiện trạng</t>
  </si>
  <si>
    <t>Báo cáo phân tích hiện trạng Khảo sát hiện trạng</t>
  </si>
  <si>
    <t>10/09/2026 - 30/09/2026</t>
  </si>
  <si>
    <t>Giai đoạn I</t>
  </si>
  <si>
    <t>Thư ký</t>
  </si>
  <si>
    <t>Trần Tiến Thạnh</t>
  </si>
  <si>
    <t>WBS-02. Hợp nhất hiện trạng</t>
  </si>
  <si>
    <t>Báo cáo phân tích hiện trạng Hợp nhất hiện trạng</t>
  </si>
  <si>
    <t>WBS-03. Phân tích hiện trạng</t>
  </si>
  <si>
    <t>Báo cáo phân tích hiện trạng Phân tích hiện trạng</t>
  </si>
  <si>
    <t>WBS-04. Đưa ra báo cáo đặc tả yêu cầu</t>
  </si>
  <si>
    <t>Tài liệu Đặc tả yêu cầu phần mềm (SRS) v1.0</t>
  </si>
  <si>
    <t>WBS-05. Mời khách hàng tham vấn</t>
  </si>
  <si>
    <t>Tài liệu SRS hoàn thiện có xác nhận phê duyệt</t>
  </si>
  <si>
    <t>Chủ nhiệm</t>
  </si>
  <si>
    <t>Nguyễn Quốc Hội</t>
  </si>
  <si>
    <t>WBS-06. Chỉnh sửa lại yêu cầu phần mềm</t>
  </si>
  <si>
    <t>WBS-07. Xác định ma trận yêu cầu</t>
  </si>
  <si>
    <t>Ma trận truy vết yêu cầu (RTM)</t>
  </si>
  <si>
    <t>01/10/2026 - 22/10/2026</t>
  </si>
  <si>
    <t>Giai đoạn II</t>
  </si>
  <si>
    <t>Thành viên chính</t>
  </si>
  <si>
    <t>Phạm Đức Hiếu</t>
  </si>
  <si>
    <t>WBS-08. Thiết kế kiến trúc hệ thống</t>
  </si>
  <si>
    <t>Tài liệu Thiết kế kiến trúc tổng quan (SAD)</t>
  </si>
  <si>
    <t>WBS-09. Xác định và phân tích Actor của hệ thống</t>
  </si>
  <si>
    <t>Sơ đồ và tài liệu Xác định và phân tích Actor của hệ thống</t>
  </si>
  <si>
    <t>WBS-10. Xác định và phân tích các User Case</t>
  </si>
  <si>
    <t>Sơ đồ và tài liệu Xác định và phân tích các User Case</t>
  </si>
  <si>
    <t>WBS-11. Vẽ biểu đồ User Case tổng quát</t>
  </si>
  <si>
    <t>Sơ đồ và tài liệu Vẽ biểu đồ User Case tổng quát</t>
  </si>
  <si>
    <t>WBS-12. User Case đăng nhập &amp; phân quyền</t>
  </si>
  <si>
    <t>Tài liệu đặc tả chi tiết User Case đăng nhập &amp; phân quyền</t>
  </si>
  <si>
    <t>Thành viên</t>
  </si>
  <si>
    <t>Nguyễn Quốc Công</t>
  </si>
  <si>
    <t>WBS-13. User Case quản trị danh mục dự án</t>
  </si>
  <si>
    <t>Tài liệu đặc tả chi tiết User Case quản trị danh mục dự án</t>
  </si>
  <si>
    <t>WBS-14. User Case quản trị tiếp nhận &amp; xem BIM</t>
  </si>
  <si>
    <t>Tài liệu đặc tả chi tiết User Case quản trị tiếp nhận &amp; xem BIM</t>
  </si>
  <si>
    <t>WBS-15. User Case quản trị quá trình xử lý biểu mẫu</t>
  </si>
  <si>
    <t>Tài liệu đặc tả chi tiết User Case quản trị quá trình xử lý biểu mẫu</t>
  </si>
  <si>
    <t>WBS-16. User Case tìm kiếm &amp; tra cứu</t>
  </si>
  <si>
    <t>Tài liệu đặc tả chi tiết User Case tìm kiếm &amp; tra cứu</t>
  </si>
  <si>
    <t>WBS-17. User Case báo cáo tiến độ</t>
  </si>
  <si>
    <t>Tài liệu đặc tả chi tiết User Case báo cáo tiến độ</t>
  </si>
  <si>
    <t>WBS-18. Xác định biểu đồ lớp</t>
  </si>
  <si>
    <t>Biểu đồ lớp thực thể và logic (Class Diagram)</t>
  </si>
  <si>
    <t>WBS-19. Biểu đồ tuần tự đăng nhập</t>
  </si>
  <si>
    <t>Biểu đồ tương tác tuần tự cho Biểu đồ tuần tự đăng nhập</t>
  </si>
  <si>
    <t>WBS-20. Biểu đồ tuần tự quản trị danh mục dự án</t>
  </si>
  <si>
    <t>Biểu đồ tương tác tuần tự cho Biểu đồ tuần tự quản trị danh mục dự án</t>
  </si>
  <si>
    <t>WBS-21. Biểu đồ tuần tự tiếp nhận &amp; load BIM</t>
  </si>
  <si>
    <t>Biểu đồ tương tác tuần tự cho Biểu đồ tuần tự tiếp nhận &amp; load BIM</t>
  </si>
  <si>
    <t>WBS-22. Biểu đồ tuần tự xử lý biểu mẫu (RFI)</t>
  </si>
  <si>
    <t>Biểu đồ tương tác tuần tự cho Biểu đồ tuần tự xử lý biểu mẫu (RFI)</t>
  </si>
  <si>
    <t>WBS-23. Biểu đồ tuần tự tìm kiếm</t>
  </si>
  <si>
    <t>Biểu đồ tương tác tuần tự cho Biểu đồ tuần tự tìm kiếm</t>
  </si>
  <si>
    <t>WBS-24. Biểu đồ tuần tự báo cáo tiến độ</t>
  </si>
  <si>
    <t>Biểu đồ tương tác tuần tự cho Biểu đồ tuần tự báo cáo tiến độ</t>
  </si>
  <si>
    <t>WBS-25. Sơ đồ hoạt động đăng nhập</t>
  </si>
  <si>
    <t>Sơ đồ luồng hoạt động rẽ nhánh Sơ đồ hoạt động đăng nhập</t>
  </si>
  <si>
    <t>WBS-26. Sơ đồ hoạt động quản trị danh mục</t>
  </si>
  <si>
    <t>Sơ đồ luồng hoạt động rẽ nhánh Sơ đồ hoạt động quản trị danh mục</t>
  </si>
  <si>
    <t>WBS-27. Sơ đồ hoạt động tiếp nhận &amp; hiển thị BIM</t>
  </si>
  <si>
    <t>Sơ đồ luồng hoạt động rẽ nhánh Sơ đồ hoạt động tiếp nhận &amp; hiển thị BIM</t>
  </si>
  <si>
    <t>WBS-28. Sơ đồ hoạt động xử lý biểu mẫu RFI</t>
  </si>
  <si>
    <t>Sơ đồ luồng hoạt động rẽ nhánh Sơ đồ hoạt động xử lý biểu mẫu RFI</t>
  </si>
  <si>
    <t>WBS-29. Sơ đồ hoạt động tìm kiếm tài liệu</t>
  </si>
  <si>
    <t>Sơ đồ luồng hoạt động rẽ nhánh Sơ đồ hoạt động tìm kiếm tài liệu</t>
  </si>
  <si>
    <t>WBS-30. Sơ đồ hoạt động báo cáo tiến độ</t>
  </si>
  <si>
    <t>Sơ đồ luồng hoạt động rẽ nhánh Sơ đồ hoạt động báo cáo tiến độ</t>
  </si>
  <si>
    <t>WBS-31. Thiết kế giao diện phần Người dùng</t>
  </si>
  <si>
    <t>Bản thiết kế Prototype UI/UX Figma (Thiết kế giao diện phần Người dùng)</t>
  </si>
  <si>
    <t>23/10/2026 - 06/11/2026</t>
  </si>
  <si>
    <t>Giai đoạn III</t>
  </si>
  <si>
    <t>Trần Ngọc Đức</t>
  </si>
  <si>
    <t>WBS-32. Thiết kế giao diện cho phần Quản trị</t>
  </si>
  <si>
    <t>Bản thiết kế Prototype UI/UX Figma (Thiết kế giao diện cho phần Quản trị)</t>
  </si>
  <si>
    <t>WBS-33. Mời khách hàng tham vấn giao diện</t>
  </si>
  <si>
    <t>Bản thiết kế Prototype UI/UX Figma (Mời khách hàng tham vấn giao diện)</t>
  </si>
  <si>
    <t>WBS-33. Mời khách hàng tham vấn giao diện (phối hợp)</t>
  </si>
  <si>
    <t>WBS-34. Chỉnh sửa theo yêu cầu</t>
  </si>
  <si>
    <t>Bản thiết kế Prototype UI/UX Figma (Chỉnh sửa theo yêu cầu)</t>
  </si>
  <si>
    <t>WBS-35. Thiết kế CSDL</t>
  </si>
  <si>
    <t>Kịch bản tạo bảng CSDL SQL &amp; Schema ORM</t>
  </si>
  <si>
    <t>09/11/2026 - 30/11/2026</t>
  </si>
  <si>
    <t>Giai đoạn IV</t>
  </si>
  <si>
    <t>WBS-36. Xây dựng module tầng Data Access</t>
  </si>
  <si>
    <t>Source code module Xây dựng module tầng Data Access kèm Unit Test</t>
  </si>
  <si>
    <t>Nguyễn Thành An</t>
  </si>
  <si>
    <t>WBS-37. Xây dựng module tầng ADO/Business Service</t>
  </si>
  <si>
    <t>Source code module Xây dựng module tầng ADO/Business Service kèm Unit Test</t>
  </si>
  <si>
    <t>WBS-38. Xây dựng các chức năng phần Quản trị</t>
  </si>
  <si>
    <t>API &amp; Giao diện phân hệ Quản trị hệ thống</t>
  </si>
  <si>
    <t>WBS-39. Đăng nhập</t>
  </si>
  <si>
    <t>Module hoàn thiện chức năng Đăng nhập</t>
  </si>
  <si>
    <t>WBS-40. Quản trị danh mục</t>
  </si>
  <si>
    <t>Module hoàn thiện chức năng Quản trị danh mục</t>
  </si>
  <si>
    <t>WBS-41. Quản lý tiếp nhận &amp; hiển thị BIM</t>
  </si>
  <si>
    <t>Module hoàn thiện chức năng Quản lý tiếp nhận &amp; hiển thị BIM</t>
  </si>
  <si>
    <t>WBS-42. Quản lý quá trình xử lý biểu mẫu</t>
  </si>
  <si>
    <t>Module hoàn thiện chức năng Quản lý quá trình xử lý biểu mẫu</t>
  </si>
  <si>
    <t>WBS-42. Quản lý quá trình xử lý biểu mẫu (phối hợp)</t>
  </si>
  <si>
    <t>WBS-43. Hoạt động tìm kiếm</t>
  </si>
  <si>
    <t>Module hoàn thiện chức năng Hoạt động tìm kiếm</t>
  </si>
  <si>
    <t>WBS-44. Chức năng thống kê báo cáo</t>
  </si>
  <si>
    <t>Module hoàn thiện chức năng Chức năng thống kê báo cáo</t>
  </si>
  <si>
    <t>WBS-44. Chức năng thống kê báo cáo (phối hợp)</t>
  </si>
  <si>
    <t>WBS-45. Chức năng cho các bên xem kết quả</t>
  </si>
  <si>
    <t>Module hoàn thiện chức năng Chức năng cho các bên xem kết quả</t>
  </si>
  <si>
    <t>WBS-46. Viết hướng dẫn sử dụng</t>
  </si>
  <si>
    <t>Bộ tài liệu Hướng dẫn sử dụng chi tiết (User Manual)</t>
  </si>
  <si>
    <t>WBS-47. Kiểm thử các chức năng phần quản trị</t>
  </si>
  <si>
    <t>Biên bản kiểm thử và log lỗi (Kiểm thử các chức năng phần quản trị)</t>
  </si>
  <si>
    <t>01/12/2026 - 14/12/2026</t>
  </si>
  <si>
    <t>Giai đoạn V</t>
  </si>
  <si>
    <t>WBS-48. Kiểm thử chức năng phần người dùng</t>
  </si>
  <si>
    <t>Biên bản kiểm thử và log lỗi (Kiểm thử chức năng phần người dùng)</t>
  </si>
  <si>
    <t>WBS-49. Kiểm thử toàn cục</t>
  </si>
  <si>
    <t>Biên bản kiểm thử và log lỗi (Kiểm thử toàn cục)</t>
  </si>
  <si>
    <t>WBS-49. Kiểm thử toàn cục (phối hợp)</t>
  </si>
  <si>
    <t>WBS-50. Sửa lỗi chương trình</t>
  </si>
  <si>
    <t>Biên bản kiểm thử và log lỗi (Sửa lỗi chương trình)</t>
  </si>
  <si>
    <t>WBS-50. Sửa lỗi chương trình (phối hợp)</t>
  </si>
  <si>
    <t>WBS-51. Triển khai trong mạng nội bộ</t>
  </si>
  <si>
    <t>Môi trường triển khai Staging/Cloud vận hành ổn định</t>
  </si>
  <si>
    <t>15/12/2026 - 10/03/2027</t>
  </si>
  <si>
    <t>Giai đoạn VI</t>
  </si>
  <si>
    <t>WBS-52. Triển khai ra toàn cục</t>
  </si>
  <si>
    <t>WBS-52. Triển khai ra toàn cục (phối hợp)</t>
  </si>
  <si>
    <t>WBS-53. Báo cáo chương trình</t>
  </si>
  <si>
    <t>Báo cáo tổng kết dự án &amp; Slide thuyết trình</t>
  </si>
  <si>
    <t>WBS-53. Báo cáo chương trình (phối hợp)</t>
  </si>
  <si>
    <t>WBS-54. Đào tạo nhân lực sử dụng chương trình</t>
  </si>
  <si>
    <t>Biên bản đào tạo chuyển giao công nghệ</t>
  </si>
  <si>
    <t>WBS-55. Bảo trì hệ thống</t>
  </si>
  <si>
    <t>Hồ sơ bảo trì và nhật ký vận hành hệ thống</t>
  </si>
  <si>
    <t>TỔNG CỘNG KINH PHÍ CÔNG LAO ĐỘNG</t>
  </si>
  <si>
    <t>BẢNG DỰ TOÁN KINH PHÍ TỔNG THỂ ĐỀ TÀI</t>
  </si>
  <si>
    <t>ĐỀ TÀI</t>
  </si>
  <si>
    <t>Quản lý dự án: Xây dựng hệ thống quản lý và kết nối dữ liệu dự án xây dựng</t>
  </si>
  <si>
    <t>MÃ SỐ</t>
  </si>
  <si>
    <t>CNTT20261_N10</t>
  </si>
  <si>
    <t>CHỦ TRÌ</t>
  </si>
  <si>
    <t>THỜI GIAN</t>
  </si>
  <si>
    <t>06 tháng, từ 10/09/2026 đến 10/03/2027</t>
  </si>
  <si>
    <t>Danh mục kinh phí</t>
  </si>
  <si>
    <t>Số tiền (đ)</t>
  </si>
  <si>
    <t>Ghi chú giải trình</t>
  </si>
  <si>
    <t>Công lao động khoa học (thuê khoán chuyên môn)</t>
  </si>
  <si>
    <t>Chi tiết tại sheet CongLaoDong và CongViec; tổng hợp từ 55 gói công việc WBS của 06 thành viên.</t>
  </si>
  <si>
    <t>Vật tư, thiết bị (hạ tầng cloud, máy chủ và bản quyền)</t>
  </si>
  <si>
    <t>Chi tiết tại sheet Thiết bị vật tư; phân bổ theo 03 giai đoạn triển khai dự án.</t>
  </si>
  <si>
    <t>Chi khác (khảo sát, hội thảo, nghiệm thu, VPP, quản lý, dự phòng)</t>
  </si>
  <si>
    <t>Chi tiết tại sheet Chi khác; gồm chi phí quản lý cơ quan và quỹ dự phòng tự cân đối.</t>
  </si>
  <si>
    <t>TỔNG CỘNG</t>
  </si>
  <si>
    <t>Bằng chữ: Một tỷ một trăm hai mươi tám triệu năm trăm hai mươi tám nghìn năm trăm đồng chẵn.</t>
  </si>
  <si>
    <t>ĐỐI CHIẾU VỚI TÔN CHỈ DỰ ÁN (COST BASELINE)</t>
  </si>
  <si>
    <t>Chỉ tiêu kiểm soát</t>
  </si>
  <si>
    <t>Giá trị (đ)</t>
  </si>
  <si>
    <t>Ghi chú kiểm toán</t>
  </si>
  <si>
    <t>Tổng kinh phí được duyệt theo Tôn chỉ dự án</t>
  </si>
  <si>
    <t>Ô nhập liệu gốc đặt tại sheet Chi khác, ô D5 (1.128.528.500 đ).</t>
  </si>
  <si>
    <t>Chênh lệch Tổng dự toán − Tổng được duyệt</t>
  </si>
  <si>
    <t>Phải bằng 0; dòng Quỹ dự phòng tại sheet Chi khác tự cân đối.</t>
  </si>
  <si>
    <t>Chỉ tiêu thuê khoán chuyên môn (59.06% tổng kinh phí)</t>
  </si>
  <si>
    <t>Giữ đúng tỷ trọng 59.06% tổng kinh phí theo Tôn chỉ dự án và thuyết minh.</t>
  </si>
  <si>
    <t>Chênh lệch Công lao động so với chỉ tiêu</t>
  </si>
  <si>
    <t>Phải bằng 0; khớp hoàn toàn với bảng phân công lao động WBS.</t>
  </si>
  <si>
    <t>Tỷ lệ sai lệch Công lao động</t>
  </si>
  <si>
    <t>Ngưỡng kiểm soát theo Tôn chỉ dự án: không vượt quá ±10% (đạt 0.00%).</t>
  </si>
  <si>
    <t>Hà Nội, ngày 10 tháng 09 năm 2026</t>
  </si>
  <si>
    <t>GIẢNG VIÊN HƯỚNG DẪN</t>
  </si>
  <si>
    <t>CHỦ NHIỆM DỰ ÁN</t>
  </si>
  <si>
    <t>ThS. Lê Thị Hoa</t>
  </si>
  <si>
    <t>PHỤ LỤC 1 - DỰ TOÁN KINH PHÍ
CÔNG LAO ĐỘNG KHOA HỌC (KHOÁN CHI)</t>
  </si>
  <si>
    <t>Mức khoán ngày công cơ sở (đồng/ngày công chuẩn):</t>
  </si>
  <si>
    <t>Họ và tên</t>
  </si>
  <si>
    <t>Nhiệm vụ trong dự án</t>
  </si>
  <si>
    <t>Hệ số nhiệm vụ</t>
  </si>
  <si>
    <t>Tỷ trọng</t>
  </si>
  <si>
    <t>Chủ nhiệm dự án (Giám đốc dự án / PM)</t>
  </si>
  <si>
    <t>Thư ký dự án (Phân tích nghiệp vụ / BA Lead)</t>
  </si>
  <si>
    <t>Thành viên chính (Kỹ sư QA/QC &amp; DevOps Lead)</t>
  </si>
  <si>
    <t>Thành viên chính (Lập trình viên Frontend &amp; BIM 3D)</t>
  </si>
  <si>
    <t>Thành viên (Kỹ thuật viên Tài liệu / Technical Writer)</t>
  </si>
  <si>
    <t>Thành viên (Tech Lead Backend &amp; CSDL)</t>
  </si>
  <si>
    <t>Bằng chữ: Sáu trăm sáu mươi sáu triệu năm trăm hai mươi tám nghìn năm trăm đồng chẵn.</t>
  </si>
  <si>
    <t>ĐỐI CHIẾU VỚI BẢNG PHÂN RÃ CÔNG VIỆC WBS</t>
  </si>
  <si>
    <t>Tổng ngày công theo WBS (EST chốt)</t>
  </si>
  <si>
    <t>Chênh lệch ngày công so với WBS (phải bằng 0)</t>
  </si>
  <si>
    <t xml:space="preserve">Tổng thành tiền </t>
  </si>
  <si>
    <t>Chênh lệch thành tiền (phải bằng 0)</t>
  </si>
  <si>
    <t>CHÚ THÍCH</t>
  </si>
  <si>
    <t>• Số ngày công</t>
  </si>
  <si>
    <t>Tự động cộng dồn từ sheet CongViec theo cột 'Người thực hiện' (hàm SUMIF), đảm bảo tính truy vết 100% với WBS.</t>
  </si>
  <si>
    <t>• Hệ số nhiệm vụ</t>
  </si>
  <si>
    <t>Quy định theo Thông tư 03/2023/TT-BKHCN và Tôn chỉ dự án: Chủ nhiệm 0,80; Thư ký 0,50; Thành viên chính 0,40; Thành viên 0,30.</t>
  </si>
  <si>
    <t>• Định mức/ngày công</t>
  </si>
  <si>
    <t>Công thức: Hệ số nhiệm vụ × Mức khoán ngày công cơ sở (ô E5 = 2.530.000 đ/ngày công chuẩn theo quy định hiện hành).</t>
  </si>
  <si>
    <t>PHỤ LỤC 2 - DỰ TOÁN KINH PHÍ
VẬT TƯ, THIẾT BỊ (HẠ TẦNG CLOUD, MÁY CHỦ, BẢN QUYỀN VÀ VẬT TƯ TIÊU HAO)</t>
  </si>
  <si>
    <t>Vật tư, thiết bị và dịch vụ công nghệ phục vụ đề tài - phân bổ theo 03 giai đoạn triển khai</t>
  </si>
  <si>
    <t>TÊN VẬT TƯ, THIẾT BỊ, DỊCH VỤ CÔNG NGHỆ</t>
  </si>
  <si>
    <t>ĐƠN VỊ TÍNH</t>
  </si>
  <si>
    <t>SỐ LƯỢNG</t>
  </si>
  <si>
    <t>ĐƠN GIÁ (đ)</t>
  </si>
  <si>
    <t>THÀNH TIỀN (đ)</t>
  </si>
  <si>
    <t>Ghi chú mục đích sử dụng</t>
  </si>
  <si>
    <t>I</t>
  </si>
  <si>
    <t>Giai đoạn 1 - Thiết lập môi trường, hạ tầng đệm &amp; CDE (T09-T10/2026)</t>
  </si>
  <si>
    <t>Thuê Hosting &amp; Tên miền Domain SSL chứng chỉ cao cấp (6 tháng)</t>
  </si>
  <si>
    <t>Gói</t>
  </si>
  <si>
    <t>Môi trường Web và cổng xác thực HTTPS SSL chuẩn bảo mật</t>
  </si>
  <si>
    <t>Thuê Cloud Server Dedicated GPU kết xuất mô hình BIM 3D (6 tháng)</t>
  </si>
  <si>
    <t>VPS Cloud GPU chuyên dụng xử lý render và bóc tách file BIM nặng</t>
  </si>
  <si>
    <t>Ổ cứng SSD NVMe 2TB tốc độ cao sao lưu mô hình BIM/CDE</t>
  </si>
  <si>
    <t>Chiếc</t>
  </si>
  <si>
    <t>Sao lưu cục bộ tốc độ cao dữ liệu mô hình BIM đa phiên bản</t>
  </si>
  <si>
    <t>Thiết bị lưu trữ đệm tại chỗ (NAS Buffer Storage 4TB)</t>
  </si>
  <si>
    <t>Bộ</t>
  </si>
  <si>
    <t>Thiết bị đệm đồng bộ file CAD/BIM giữa công trường và văn phòng</t>
  </si>
  <si>
    <t>Phụ kiện mạng chuyên dụng, cáp truyền dữ liệu sợi quang đệm</t>
  </si>
  <si>
    <t>Cáp quang và đầu nối switch gigabit thử nghiệm lab CDE</t>
  </si>
  <si>
    <t>II</t>
  </si>
  <si>
    <t>Giai đoạn 2 - Phát triển, tích hợp BIM 3D &amp; Kiểm thử (T11-T12/2026)</t>
  </si>
  <si>
    <t>Bản quyền Autodesk Construction Cloud (ACC) API Gateway</t>
  </si>
  <si>
    <t>Gateway kết nối dữ liệu mô hình Autodesk Revit &amp; Navisworks</t>
  </si>
  <si>
    <t>Bản quyền phần mềm kiểm thử tải cao &amp; an toàn thông tin (JMeter Pro)</t>
  </si>
  <si>
    <t>Bản quyền</t>
  </si>
  <si>
    <t>Phục vụ kiểm thử Load/Stress và an toàn bảo mật OWASP Top 10</t>
  </si>
  <si>
    <t>Thư viện đồ họa WebGL nâng cao và máy trạm kiểm thử hiện trường</t>
  </si>
  <si>
    <t>Hệ thống</t>
  </si>
  <si>
    <t>Engine WebGL bản quyền và máy trạm di động kiểm thử mô hình thực tế</t>
  </si>
  <si>
    <t>Vật tư in ấn kỹ thuật, mực in, giấy in bản vẽ CAD/IFC khổ lớn A3/A4</t>
  </si>
  <si>
    <t>In ấn bản vẽ trắc đạc, hồ sơ hoàn công và biểu mẫu UAT</t>
  </si>
  <si>
    <t>III</t>
  </si>
  <si>
    <t>Giai đoạn 3 - Triển khai, Đăng ký bản quyền &amp; Nghiệm thu (T01-T03/2027)</t>
  </si>
  <si>
    <t>Đăng ký bản quyền SHTT giải pháp phần mềm và sở hữu trí tuệ</t>
  </si>
  <si>
    <t>Đăng ký chứng nhận bản quyền phần mềm IDD Platform tại Cục SHTT</t>
  </si>
  <si>
    <t>Bằng chữ: Ba trăm chín mươi triệu đồng chẵn.</t>
  </si>
  <si>
    <t>• Cơ sở lập dự toán</t>
  </si>
  <si>
    <t>Dự toán bao gồm Thiết bị &amp; Máy chủ Cloud GPU (360.000.000 đ) và Vật tư đệm CDE tiêu hao (30.000.000 đ), tổng 390.000.000 đ.</t>
  </si>
  <si>
    <t>• Nguyên tắc</t>
  </si>
  <si>
    <t>Thuê hạ tầng đám mây và license bản quyền phục vụ nghiên cứu theo đúng tiến độ đề tài, kiểm soát chặt chẽ.</t>
  </si>
  <si>
    <t>PHỤ LỤC 3 - DỰ TOÁN KINH PHÍ
CHI KHÁC (KHẢO SÁT, HỘI THẢO, NGHIỆM THU, VĂN PHÒNG PHẨM, QUẢN LÝ, DỰ PHÒNG)</t>
  </si>
  <si>
    <t>Tổng kinh phí được duyệt theo Tôn chỉ dự án (đồng):</t>
  </si>
  <si>
    <t>NỘI DUNG</t>
  </si>
  <si>
    <t>Mô tả chi tiết nội dung chi phí</t>
  </si>
  <si>
    <t>SỐ TIỀN (đ)</t>
  </si>
  <si>
    <t>Khảo sát và đường truyền kết nối</t>
  </si>
  <si>
    <t>Chi phí đường truyền Internet chuyên dụng, kết nối API Cloud</t>
  </si>
  <si>
    <t>Đường truyền cáp quang băng thông rộng 500Mbps phục vụ trao đổi file BIM và API Cloud (6 tháng × 2.000.000 đ)</t>
  </si>
  <si>
    <t>Hội thảo chuyên gia, đào tạo và demo</t>
  </si>
  <si>
    <t>Hội thảo tham vấn chuyên gia &amp; đánh giá kiến trúc CDE</t>
  </si>
  <si>
    <t>Tổ chức 01 buổi hội thảo tham vấn chuyên gia công trình và phản biện giải pháp kiến trúc phần mềm</t>
  </si>
  <si>
    <t>Đào tạo chuyển giao công nghệ &amp; truyền thông demo sản phẩm</t>
  </si>
  <si>
    <t>Tổ chức 02 buổi đào tạo chuyển giao hệ thống và công tác truyền thông kết quả nghiên cứu</t>
  </si>
  <si>
    <t>Nghiệm thu cơ sở &amp; Đánh giá sản phẩm</t>
  </si>
  <si>
    <t>Nghiệm thu cơ sở &amp; Đánh giá của Hội đồng khoa học</t>
  </si>
  <si>
    <t>Thù lao Hội đồng đánh giá nghiệm thu cơ sở đề tài: Chủ tịch, thư ký, phản biện và chuyên gia</t>
  </si>
  <si>
    <t>IV</t>
  </si>
  <si>
    <t>In ấn, tài liệu, văn phòng phẩm</t>
  </si>
  <si>
    <t>In ấn tài liệu đặc tả SRS, tài liệu HDSD, biểu mẫu dự án, VPP</t>
  </si>
  <si>
    <t>06 bộ hồ sơ dự án đóng quyển (Thuyết minh, SRS, SAD, QLDA, BCTC) và văn phòng phẩm phục vụ</t>
  </si>
  <si>
    <t>V</t>
  </si>
  <si>
    <t>Chi phí quản lý và quỹ dự phòng</t>
  </si>
  <si>
    <t>Kinh phí quản lý của cơ quan chủ trì</t>
  </si>
  <si>
    <t>Thư ký hành chính &amp; quản lý điều phối hồ sơ đề tài theo quy chế (6 tháng × 500.000 đ)</t>
  </si>
  <si>
    <t>Quỹ dự phòng (Contingency Reserve)</t>
  </si>
  <si>
    <t>Tự cân đối: Tổng kinh phí được duyệt trừ Công lao động, Vật tư thiết bị và các khoản Chi khác đã liệt kê</t>
  </si>
  <si>
    <t>Bằng chữ: Bảy mươi hai triệu đồng chẵn.</t>
  </si>
  <si>
    <t>Đường truyền Internet Cloud 12tr; Hội thảo &amp; đào tạo demo 23tr; Nghiệm thu cơ sở 18tr; In ấn tài liệu VPP 6tr; Quản lý cơ quan 3tr; Quỹ dự phòng 10tr.</t>
  </si>
  <si>
    <t>• Dòng Quỹ dự phòng</t>
  </si>
  <si>
    <t>Là công thức tự cân đối để Tổng dự toán luôn bằng đúng Tổng kinh phí được duyệt (ô D5); khi điều chỉnh bất kỳ khoản mục nào, Quỹ dự phòng tự điều chỉnh tương ứng.</t>
  </si>
  <si>
    <t>PHỤ LỤC 4 - DỰ TOÁN KINH PHÍ
KẾ HOẠCH THANH TOÁN VÀ DÒNG TIỀN DỰ ÁN</t>
  </si>
  <si>
    <t>Giá trị hợp đồng với Chủ đầu tư (đồng):</t>
  </si>
  <si>
    <t>Số ngày làm việc từ khi nghiệm thu đến khi nhận tiền:</t>
  </si>
  <si>
    <t>I. KẾ HOẠCH THANH TOÁN THEO CỘT MỐC NGHIỆM THU</t>
  </si>
  <si>
    <t>Đợt thanh toán</t>
  </si>
  <si>
    <t>Cột mốc nghiệm thu</t>
  </si>
  <si>
    <t>Ngày cột mốc</t>
  </si>
  <si>
    <t>Điều kiện thanh toán (hồ sơ kèm theo)</t>
  </si>
  <si>
    <t>Tỷ lệ (%)</t>
  </si>
  <si>
    <t>Ngày nhận tiền dự kiến</t>
  </si>
  <si>
    <t>Lũy kế thu (đ)</t>
  </si>
  <si>
    <t>Ghi chú mục đích</t>
  </si>
  <si>
    <t>Đợt 1 - Tạm ứng</t>
  </si>
  <si>
    <t>M01 - Khởi động &amp; Phê duyệt Project Charter</t>
  </si>
  <si>
    <t>Hợp đồng đã ký; Biên bản phê duyệt Project Charter &amp; Dự thảo SRS; Đề nghị tạm ứng</t>
  </si>
  <si>
    <t>Khởi động dự án, chi trả giai đoạn Khảo sát yêu cầu và thiết lập hạ tầng CDE</t>
  </si>
  <si>
    <t>Đợt 2</t>
  </si>
  <si>
    <t>M02 - Nghiệm thu Khảo sát SRS &amp; Baseline</t>
  </si>
  <si>
    <t>Tài liệu SRS v1.0 và Kế hoạch quản trị dự án tổng thể được Ban Chỉ đạo phê duyệt</t>
  </si>
  <si>
    <t>Bù chi giai đoạn Khảo sát công nghệ, thiết lập môi trường và hội thảo chuyên gia</t>
  </si>
  <si>
    <t>Đợt 3</t>
  </si>
  <si>
    <t>M03 - Ký xác nhận Thiết kế SAD &amp; Prototype UI/UX</t>
  </si>
  <si>
    <t>Báo cáo Phân tích thiết kế hệ thống (SAD, UML) và Prototype Figma hoàn chỉnh</t>
  </si>
  <si>
    <t>Bù chi giai đoạn Thiết kế UI/UX và bản quyền Autodesk ACC API Gateway</t>
  </si>
  <si>
    <t>Đợt 4</t>
  </si>
  <si>
    <t>M04 - Nghiệm thu hoàn thiện Core Backend &amp; BIM 3D</t>
  </si>
  <si>
    <t>Module WebGL Three.js, RESTful API Backend, tài liệu HDSD sơ bộ được nghiệm thu</t>
  </si>
  <si>
    <t>Đợt giải ngân lớn nhất, đón trước giai đoạn hoàn thiện Core Dev và kiểm thử tải</t>
  </si>
  <si>
    <t>Đợt 5</t>
  </si>
  <si>
    <t>M05 - Nghiệm thu Kiểm thử E2E &amp; Triển khai Staging</t>
  </si>
  <si>
    <t>Biên bản nghiệm thu Test E2E, hệ thống Staging chạy ổn định không còn bug nghiêm trọng</t>
  </si>
  <si>
    <t>Bù chi giai đoạn Kiểm thử toàn diện, tối ưu hiệu năng và nghiệm thu cơ sở</t>
  </si>
  <si>
    <t>Đợt 6 - Quyết toán</t>
  </si>
  <si>
    <t>M06 - Triển khai Cloud &amp; Nghiệm thu Bảo vệ Đề tài</t>
  </si>
  <si>
    <t>Biên bản nghiệm thu chính thức của Hội đồng; Hồ sơ quyết toán; Biên bản đóng đề tài</t>
  </si>
  <si>
    <t>Khoản giữ lại 5% thanh toán khi hoàn tất bảo vệ và đóng hợp đồng đề tài</t>
  </si>
  <si>
    <t>II. DÒNG TIỀN DỰ KIẾN THEO THÁNG (CHI THEO COST BASELINE, THU THEO KẾ HOẠCH THANH TOÁN)</t>
  </si>
  <si>
    <t>Tháng</t>
  </si>
  <si>
    <t>Ngày cuối tháng</t>
  </si>
  <si>
    <t>Chi công lao động (đ)</t>
  </si>
  <si>
    <t>Chi vật tư, thiết bị (đ)</t>
  </si>
  <si>
    <t>Chi khác, không gồm dự phòng (đ)</t>
  </si>
  <si>
    <t>Tổng chi trong tháng (đ)</t>
  </si>
  <si>
    <t>Lũy kế chi (đ)</t>
  </si>
  <si>
    <t>Thu trong tháng (đ)</t>
  </si>
  <si>
    <t>Chênh lệch lũy kế thu - chi (đ)</t>
  </si>
  <si>
    <t>T09/2026</t>
  </si>
  <si>
    <t>T10/2026</t>
  </si>
  <si>
    <t>T11/2026</t>
  </si>
  <si>
    <t>T12/2026</t>
  </si>
  <si>
    <t>T01/2027</t>
  </si>
  <si>
    <t>T02/2027</t>
  </si>
  <si>
    <t>T03/2027</t>
  </si>
  <si>
    <t>III. ĐỐI CHIẾU</t>
  </si>
  <si>
    <t>Chỉ tiêu kiểm soát dòng tiền</t>
  </si>
  <si>
    <t>Ghi chú kiểm soát</t>
  </si>
  <si>
    <t>Chênh lệch chi công lao động so với sheet CongLaoDong</t>
  </si>
  <si>
    <t>Phải bằng 0: Chi công lao động khớp 100% với bảng khoán chi</t>
  </si>
  <si>
    <t>Chênh lệch chi vật tư, thiết bị so với sheet Thiết bị vật tư</t>
  </si>
  <si>
    <t>Phải bằng 0: Chi thiết bị vật tư khớp 100% với phụ lục thiết bị</t>
  </si>
  <si>
    <t>Chênh lệch chi khác so với sheet Chi khác (không gồm dự phòng)</t>
  </si>
  <si>
    <t>Phải bằng 0: Chi khác thực tế khớp 100% với phụ lục chi khác</t>
  </si>
  <si>
    <t>Chênh lệch tổng thu so với giá trị hợp đồng</t>
  </si>
  <si>
    <t>Phải bằng 0: Tổng thu qua 6 đợt đủ 100% giá trị hợp đồng được duyệt</t>
  </si>
  <si>
    <t>Chênh lệch lũy kế cuối dự án so với Quỹ dự phòng</t>
  </si>
  <si>
    <t>Phải bằng 0: Phần dư cuối dự án đúng bằng khoản Quỹ dự phòng chưa sử dụng</t>
  </si>
  <si>
    <t>Số tháng có chênh lệch lũy kế thu - chi âm</t>
  </si>
  <si>
    <t>Phải bằng 0: Dự án đảm bảo không thiếu hụt dòng tiền tại mọi thời điểm cuối tháng</t>
  </si>
  <si>
    <t>Chênh lệch lũy kế thu - chi thấp nhất trong kỳ</t>
  </si>
  <si>
    <t>Biên an toàn dòng tiền tối thiểu; đạt dương tại mọi thời điểm trong 07 tháng</t>
  </si>
  <si>
    <t>• Ngày cột mốc</t>
  </si>
  <si>
    <t>Theo danh mục 6 cột mốc chiến lược M01-M06 tại Kế hoạch quản lý tiến độ MS Project: M01 11/09/2026; M02 09/10/2026; M03 06/11/2026; M04 11/12/2026; M05 22/01/2027; M06 26/02/2027.</t>
  </si>
  <si>
    <t>• Ngày nhận tiền</t>
  </si>
  <si>
    <t>Công thức WORKDAY(Ngày cột mốc, ô D6), loại trừ thứ Bảy, Chủ nhật và tính đúng thời hạn thanh toán 07 ngày làm việc.</t>
  </si>
  <si>
    <t>• Thu trong tháng</t>
  </si>
  <si>
    <t>Công thức SUMIFS cộng tự động các đợt giải ngân có Ngày nhận tiền rơi vào tháng tương ứng.</t>
  </si>
  <si>
    <t>• Phân bổ chi theo tháng</t>
  </si>
  <si>
    <t>Công lao động và thiết bị vật tư được phân bổ theo tiến độ thực tế triển khai 06 giai đoạn; số lẻ làm tròn được dồn vào tháng 03/2027.</t>
  </si>
  <si>
    <t>• Giả định dòng chi</t>
  </si>
  <si>
    <t>Chi phí được thanh toán vào cuối tháng phát sinh; khoản Quỹ dự phòng không đưa vào dòng chi kế hoạch và chỉ sử dụng khi kích hoạt quy trình quản lý rủi ro.</t>
  </si>
  <si>
    <t>• Nguyên tắc lập kế hoạch</t>
  </si>
  <si>
    <t>Chênh lệch lũy kế thu - chi luôn dương (&gt;= 0) tại mọi thời điểm cuối tháng; đợt tạm ứng đón trước giai đoạn khảo sát; đợt giải ngân lớn nhất (25%) đặt trước giai đoạn Core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</si>
</sst>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7">
    <font>
      <sz val="11"/>
      <color theme="1"/>
      <name val="Calibri"/>
      <family val="2"/>
      <scheme val="minor"/>
    </font>
    <font>
      <b/>
      <sz val="13"/>
      <color rgb="FF000000"/>
      <name val="Times New Roman"/>
    </font>
    <font>
      <i/>
      <sz val="10"/>
      <color rgb="FF000000"/>
      <name val="Times New Roman"/>
    </font>
    <font>
      <i/>
      <sz val="9.5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  <xf numFmtId="3" fontId="4" fillId="0" borderId="0" xfId="0" applyNumberFormat="1" applyFont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10" fontId="4" fillId="0" borderId="2" xfId="0" applyNumberFormat="1" applyFont="1" applyBorder="1" applyAlignment="1">
      <alignment horizontal="right" vertical="center"/>
    </xf>
    <xf numFmtId="0" fontId="6" fillId="0" borderId="0" xfId="0" applyFont="1"/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2" xfId="0" applyFont="1" applyBorder="1"/>
    <xf numFmtId="0" fontId="4" fillId="0" borderId="0" xfId="0" applyFont="1" applyAlignment="1">
      <alignment horizontal="right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wrapText="1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opLeftCell="A68" workbookViewId="0"/>
  </sheetViews>
  <sheetFormatPr defaultRowHeight="14.25"/>
  <cols>
    <col min="1" max="1" width="5" customWidth="1"/>
    <col min="2" max="2" width="44" customWidth="1"/>
    <col min="3" max="3" width="36" customWidth="1"/>
    <col min="4" max="4" width="22" customWidth="1"/>
    <col min="5" max="5" width="18" customWidth="1"/>
    <col min="6" max="6" width="15" customWidth="1"/>
    <col min="7" max="7" width="18" customWidth="1"/>
    <col min="8" max="8" width="12" customWidth="1"/>
    <col min="9" max="9" width="14" customWidth="1"/>
    <col min="10" max="10" width="16" customWidth="1"/>
  </cols>
  <sheetData>
    <row r="1" spans="1:10" ht="45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.75" customHeight="1">
      <c r="A2" s="28"/>
      <c r="B2" s="29"/>
      <c r="C2" s="29"/>
      <c r="D2" s="29"/>
      <c r="E2" s="29"/>
      <c r="F2" s="29"/>
      <c r="G2" s="29"/>
      <c r="H2" s="29"/>
      <c r="I2" s="29"/>
      <c r="J2" s="29"/>
    </row>
    <row r="3" spans="1:10" ht="15">
      <c r="A3" s="1" t="s">
        <v>1</v>
      </c>
    </row>
    <row r="4" spans="1:10">
      <c r="A4" s="2" t="s">
        <v>2</v>
      </c>
    </row>
    <row r="6" spans="1:10" ht="25.5" customHeight="1">
      <c r="A6" s="27" t="s">
        <v>3</v>
      </c>
      <c r="B6" s="27" t="s">
        <v>4</v>
      </c>
      <c r="C6" s="27" t="s">
        <v>5</v>
      </c>
      <c r="D6" s="27" t="s">
        <v>6</v>
      </c>
      <c r="E6" s="27" t="s">
        <v>7</v>
      </c>
      <c r="F6" s="27" t="s">
        <v>8</v>
      </c>
      <c r="G6" s="27" t="s">
        <v>9</v>
      </c>
      <c r="H6" s="27" t="s">
        <v>10</v>
      </c>
      <c r="I6" s="27" t="s">
        <v>11</v>
      </c>
      <c r="J6" s="27" t="s">
        <v>12</v>
      </c>
    </row>
    <row r="8" spans="1:10" ht="37.5" customHeight="1">
      <c r="A8" s="4">
        <v>1</v>
      </c>
      <c r="B8" s="5" t="s">
        <v>13</v>
      </c>
      <c r="C8" s="5" t="s">
        <v>14</v>
      </c>
      <c r="D8" s="4" t="s">
        <v>15</v>
      </c>
      <c r="E8" s="4" t="s">
        <v>16</v>
      </c>
      <c r="F8" s="4" t="s">
        <v>17</v>
      </c>
      <c r="G8" s="5" t="s">
        <v>18</v>
      </c>
      <c r="H8" s="6">
        <v>14.5</v>
      </c>
      <c r="I8" s="7">
        <f>VLOOKUP(G8,'CÔNG LAO ĐỘNG'!$B$9:$G$14,5,0)</f>
        <v>1265000</v>
      </c>
      <c r="J8" s="7">
        <f t="shared" ref="J8:J39" si="0">H8*I8</f>
        <v>18342500</v>
      </c>
    </row>
    <row r="9" spans="1:10" ht="37.5" customHeight="1">
      <c r="A9" s="4">
        <v>2</v>
      </c>
      <c r="B9" s="5" t="s">
        <v>19</v>
      </c>
      <c r="C9" s="5" t="s">
        <v>20</v>
      </c>
      <c r="D9" s="4" t="s">
        <v>15</v>
      </c>
      <c r="E9" s="4" t="s">
        <v>16</v>
      </c>
      <c r="F9" s="4" t="s">
        <v>17</v>
      </c>
      <c r="G9" s="5" t="s">
        <v>18</v>
      </c>
      <c r="H9" s="6">
        <v>9</v>
      </c>
      <c r="I9" s="7">
        <f>VLOOKUP(G9,'CÔNG LAO ĐỘNG'!$B$9:$G$14,5,0)</f>
        <v>1265000</v>
      </c>
      <c r="J9" s="7">
        <f t="shared" si="0"/>
        <v>11385000</v>
      </c>
    </row>
    <row r="10" spans="1:10" ht="37.5" customHeight="1">
      <c r="A10" s="4">
        <v>3</v>
      </c>
      <c r="B10" s="5" t="s">
        <v>21</v>
      </c>
      <c r="C10" s="5" t="s">
        <v>22</v>
      </c>
      <c r="D10" s="4" t="s">
        <v>15</v>
      </c>
      <c r="E10" s="4" t="s">
        <v>16</v>
      </c>
      <c r="F10" s="4" t="s">
        <v>17</v>
      </c>
      <c r="G10" s="5" t="s">
        <v>18</v>
      </c>
      <c r="H10" s="6">
        <v>10</v>
      </c>
      <c r="I10" s="7">
        <f>VLOOKUP(G10,'CÔNG LAO ĐỘNG'!$B$9:$G$14,5,0)</f>
        <v>1265000</v>
      </c>
      <c r="J10" s="7">
        <f t="shared" si="0"/>
        <v>12650000</v>
      </c>
    </row>
    <row r="11" spans="1:10" ht="37.5" customHeight="1">
      <c r="A11" s="4">
        <v>4</v>
      </c>
      <c r="B11" s="5" t="s">
        <v>23</v>
      </c>
      <c r="C11" s="5" t="s">
        <v>24</v>
      </c>
      <c r="D11" s="4" t="s">
        <v>15</v>
      </c>
      <c r="E11" s="4" t="s">
        <v>16</v>
      </c>
      <c r="F11" s="4" t="s">
        <v>17</v>
      </c>
      <c r="G11" s="5" t="s">
        <v>18</v>
      </c>
      <c r="H11" s="6">
        <v>14.5</v>
      </c>
      <c r="I11" s="7">
        <f>VLOOKUP(G11,'CÔNG LAO ĐỘNG'!$B$9:$G$14,5,0)</f>
        <v>1265000</v>
      </c>
      <c r="J11" s="7">
        <f t="shared" si="0"/>
        <v>18342500</v>
      </c>
    </row>
    <row r="12" spans="1:10" ht="37.5" customHeight="1">
      <c r="A12" s="4">
        <v>5</v>
      </c>
      <c r="B12" s="5" t="s">
        <v>25</v>
      </c>
      <c r="C12" s="5" t="s">
        <v>26</v>
      </c>
      <c r="D12" s="4" t="s">
        <v>15</v>
      </c>
      <c r="E12" s="4" t="s">
        <v>16</v>
      </c>
      <c r="F12" s="4" t="s">
        <v>27</v>
      </c>
      <c r="G12" s="5" t="s">
        <v>28</v>
      </c>
      <c r="H12" s="6">
        <v>4.5</v>
      </c>
      <c r="I12" s="7">
        <f>VLOOKUP(G12,'CÔNG LAO ĐỘNG'!$B$9:$G$14,5,0)</f>
        <v>2024000</v>
      </c>
      <c r="J12" s="7">
        <f t="shared" si="0"/>
        <v>9108000</v>
      </c>
    </row>
    <row r="13" spans="1:10" ht="37.5" customHeight="1">
      <c r="A13" s="4">
        <v>6</v>
      </c>
      <c r="B13" s="5" t="s">
        <v>29</v>
      </c>
      <c r="C13" s="5" t="s">
        <v>26</v>
      </c>
      <c r="D13" s="4" t="s">
        <v>15</v>
      </c>
      <c r="E13" s="4" t="s">
        <v>16</v>
      </c>
      <c r="F13" s="4" t="s">
        <v>17</v>
      </c>
      <c r="G13" s="5" t="s">
        <v>18</v>
      </c>
      <c r="H13" s="6">
        <v>9</v>
      </c>
      <c r="I13" s="7">
        <f>VLOOKUP(G13,'CÔNG LAO ĐỘNG'!$B$9:$G$14,5,0)</f>
        <v>1265000</v>
      </c>
      <c r="J13" s="7">
        <f t="shared" si="0"/>
        <v>11385000</v>
      </c>
    </row>
    <row r="14" spans="1:10" ht="37.5" customHeight="1">
      <c r="A14" s="4">
        <v>7</v>
      </c>
      <c r="B14" s="5" t="s">
        <v>30</v>
      </c>
      <c r="C14" s="5" t="s">
        <v>31</v>
      </c>
      <c r="D14" s="4" t="s">
        <v>32</v>
      </c>
      <c r="E14" s="4" t="s">
        <v>33</v>
      </c>
      <c r="F14" s="4" t="s">
        <v>34</v>
      </c>
      <c r="G14" s="5" t="s">
        <v>35</v>
      </c>
      <c r="H14" s="6">
        <v>9.5</v>
      </c>
      <c r="I14" s="7">
        <f>VLOOKUP(G14,'CÔNG LAO ĐỘNG'!$B$9:$G$14,5,0)</f>
        <v>1012000</v>
      </c>
      <c r="J14" s="7">
        <f t="shared" si="0"/>
        <v>9614000</v>
      </c>
    </row>
    <row r="15" spans="1:10" ht="37.5" customHeight="1">
      <c r="A15" s="4">
        <v>8</v>
      </c>
      <c r="B15" s="5" t="s">
        <v>36</v>
      </c>
      <c r="C15" s="5" t="s">
        <v>37</v>
      </c>
      <c r="D15" s="4" t="s">
        <v>32</v>
      </c>
      <c r="E15" s="4" t="s">
        <v>33</v>
      </c>
      <c r="F15" s="4" t="s">
        <v>34</v>
      </c>
      <c r="G15" s="5" t="s">
        <v>35</v>
      </c>
      <c r="H15" s="6">
        <v>16</v>
      </c>
      <c r="I15" s="7">
        <f>VLOOKUP(G15,'CÔNG LAO ĐỘNG'!$B$9:$G$14,5,0)</f>
        <v>1012000</v>
      </c>
      <c r="J15" s="7">
        <f t="shared" si="0"/>
        <v>16192000</v>
      </c>
    </row>
    <row r="16" spans="1:10" ht="37.5" customHeight="1">
      <c r="A16" s="4">
        <v>9</v>
      </c>
      <c r="B16" s="5" t="s">
        <v>38</v>
      </c>
      <c r="C16" s="5" t="s">
        <v>39</v>
      </c>
      <c r="D16" s="4" t="s">
        <v>32</v>
      </c>
      <c r="E16" s="4" t="s">
        <v>33</v>
      </c>
      <c r="F16" s="4" t="s">
        <v>34</v>
      </c>
      <c r="G16" s="5" t="s">
        <v>35</v>
      </c>
      <c r="H16" s="6">
        <v>9.5</v>
      </c>
      <c r="I16" s="7">
        <f>VLOOKUP(G16,'CÔNG LAO ĐỘNG'!$B$9:$G$14,5,0)</f>
        <v>1012000</v>
      </c>
      <c r="J16" s="7">
        <f t="shared" si="0"/>
        <v>9614000</v>
      </c>
    </row>
    <row r="17" spans="1:10" ht="37.5" customHeight="1">
      <c r="A17" s="4">
        <v>10</v>
      </c>
      <c r="B17" s="5" t="s">
        <v>40</v>
      </c>
      <c r="C17" s="5" t="s">
        <v>41</v>
      </c>
      <c r="D17" s="4" t="s">
        <v>32</v>
      </c>
      <c r="E17" s="4" t="s">
        <v>33</v>
      </c>
      <c r="F17" s="4" t="s">
        <v>34</v>
      </c>
      <c r="G17" s="5" t="s">
        <v>35</v>
      </c>
      <c r="H17" s="6">
        <v>14</v>
      </c>
      <c r="I17" s="7">
        <f>VLOOKUP(G17,'CÔNG LAO ĐỘNG'!$B$9:$G$14,5,0)</f>
        <v>1012000</v>
      </c>
      <c r="J17" s="7">
        <f t="shared" si="0"/>
        <v>14168000</v>
      </c>
    </row>
    <row r="18" spans="1:10" ht="37.5" customHeight="1">
      <c r="A18" s="4">
        <v>11</v>
      </c>
      <c r="B18" s="5" t="s">
        <v>42</v>
      </c>
      <c r="C18" s="5" t="s">
        <v>43</v>
      </c>
      <c r="D18" s="4" t="s">
        <v>32</v>
      </c>
      <c r="E18" s="4" t="s">
        <v>33</v>
      </c>
      <c r="F18" s="4" t="s">
        <v>34</v>
      </c>
      <c r="G18" s="5" t="s">
        <v>35</v>
      </c>
      <c r="H18" s="6">
        <v>9.5</v>
      </c>
      <c r="I18" s="7">
        <f>VLOOKUP(G18,'CÔNG LAO ĐỘNG'!$B$9:$G$14,5,0)</f>
        <v>1012000</v>
      </c>
      <c r="J18" s="7">
        <f t="shared" si="0"/>
        <v>9614000</v>
      </c>
    </row>
    <row r="19" spans="1:10" ht="37.5" customHeight="1">
      <c r="A19" s="4">
        <v>12</v>
      </c>
      <c r="B19" s="5" t="s">
        <v>44</v>
      </c>
      <c r="C19" s="5" t="s">
        <v>45</v>
      </c>
      <c r="D19" s="4" t="s">
        <v>32</v>
      </c>
      <c r="E19" s="4" t="s">
        <v>33</v>
      </c>
      <c r="F19" s="4" t="s">
        <v>46</v>
      </c>
      <c r="G19" s="5" t="s">
        <v>47</v>
      </c>
      <c r="H19" s="6">
        <v>7</v>
      </c>
      <c r="I19" s="7">
        <f>VLOOKUP(G19,'CÔNG LAO ĐỘNG'!$B$9:$G$14,5,0)</f>
        <v>759000</v>
      </c>
      <c r="J19" s="7">
        <f t="shared" si="0"/>
        <v>5313000</v>
      </c>
    </row>
    <row r="20" spans="1:10" ht="37.5" customHeight="1">
      <c r="A20" s="4">
        <v>13</v>
      </c>
      <c r="B20" s="5" t="s">
        <v>48</v>
      </c>
      <c r="C20" s="5" t="s">
        <v>49</v>
      </c>
      <c r="D20" s="4" t="s">
        <v>32</v>
      </c>
      <c r="E20" s="4" t="s">
        <v>33</v>
      </c>
      <c r="F20" s="4" t="s">
        <v>46</v>
      </c>
      <c r="G20" s="5" t="s">
        <v>47</v>
      </c>
      <c r="H20" s="6">
        <v>7</v>
      </c>
      <c r="I20" s="7">
        <f>VLOOKUP(G20,'CÔNG LAO ĐỘNG'!$B$9:$G$14,5,0)</f>
        <v>759000</v>
      </c>
      <c r="J20" s="7">
        <f t="shared" si="0"/>
        <v>5313000</v>
      </c>
    </row>
    <row r="21" spans="1:10" ht="37.5" customHeight="1">
      <c r="A21" s="4">
        <v>14</v>
      </c>
      <c r="B21" s="5" t="s">
        <v>50</v>
      </c>
      <c r="C21" s="5" t="s">
        <v>51</v>
      </c>
      <c r="D21" s="4" t="s">
        <v>32</v>
      </c>
      <c r="E21" s="4" t="s">
        <v>33</v>
      </c>
      <c r="F21" s="4" t="s">
        <v>46</v>
      </c>
      <c r="G21" s="5" t="s">
        <v>47</v>
      </c>
      <c r="H21" s="6">
        <v>13</v>
      </c>
      <c r="I21" s="7">
        <f>VLOOKUP(G21,'CÔNG LAO ĐỘNG'!$B$9:$G$14,5,0)</f>
        <v>759000</v>
      </c>
      <c r="J21" s="7">
        <f t="shared" si="0"/>
        <v>9867000</v>
      </c>
    </row>
    <row r="22" spans="1:10" ht="37.5" customHeight="1">
      <c r="A22" s="4">
        <v>15</v>
      </c>
      <c r="B22" s="5" t="s">
        <v>52</v>
      </c>
      <c r="C22" s="5" t="s">
        <v>53</v>
      </c>
      <c r="D22" s="4" t="s">
        <v>32</v>
      </c>
      <c r="E22" s="4" t="s">
        <v>33</v>
      </c>
      <c r="F22" s="4" t="s">
        <v>27</v>
      </c>
      <c r="G22" s="5" t="s">
        <v>28</v>
      </c>
      <c r="H22" s="6">
        <v>11.5</v>
      </c>
      <c r="I22" s="7">
        <f>VLOOKUP(G22,'CÔNG LAO ĐỘNG'!$B$9:$G$14,5,0)</f>
        <v>2024000</v>
      </c>
      <c r="J22" s="7">
        <f t="shared" si="0"/>
        <v>23276000</v>
      </c>
    </row>
    <row r="23" spans="1:10" ht="37.5" customHeight="1">
      <c r="A23" s="4">
        <v>16</v>
      </c>
      <c r="B23" s="5" t="s">
        <v>54</v>
      </c>
      <c r="C23" s="5" t="s">
        <v>55</v>
      </c>
      <c r="D23" s="4" t="s">
        <v>32</v>
      </c>
      <c r="E23" s="4" t="s">
        <v>33</v>
      </c>
      <c r="F23" s="4" t="s">
        <v>27</v>
      </c>
      <c r="G23" s="5" t="s">
        <v>28</v>
      </c>
      <c r="H23" s="6">
        <v>7.5</v>
      </c>
      <c r="I23" s="7">
        <f>VLOOKUP(G23,'CÔNG LAO ĐỘNG'!$B$9:$G$14,5,0)</f>
        <v>2024000</v>
      </c>
      <c r="J23" s="7">
        <f t="shared" si="0"/>
        <v>15180000</v>
      </c>
    </row>
    <row r="24" spans="1:10" ht="37.5" customHeight="1">
      <c r="A24" s="4">
        <v>17</v>
      </c>
      <c r="B24" s="5" t="s">
        <v>56</v>
      </c>
      <c r="C24" s="5" t="s">
        <v>57</v>
      </c>
      <c r="D24" s="4" t="s">
        <v>32</v>
      </c>
      <c r="E24" s="4" t="s">
        <v>33</v>
      </c>
      <c r="F24" s="4" t="s">
        <v>27</v>
      </c>
      <c r="G24" s="5" t="s">
        <v>28</v>
      </c>
      <c r="H24" s="6">
        <v>11.5</v>
      </c>
      <c r="I24" s="7">
        <f>VLOOKUP(G24,'CÔNG LAO ĐỘNG'!$B$9:$G$14,5,0)</f>
        <v>2024000</v>
      </c>
      <c r="J24" s="7">
        <f t="shared" si="0"/>
        <v>23276000</v>
      </c>
    </row>
    <row r="25" spans="1:10" ht="37.5" customHeight="1">
      <c r="A25" s="4">
        <v>18</v>
      </c>
      <c r="B25" s="5" t="s">
        <v>58</v>
      </c>
      <c r="C25" s="5" t="s">
        <v>59</v>
      </c>
      <c r="D25" s="4" t="s">
        <v>32</v>
      </c>
      <c r="E25" s="4" t="s">
        <v>33</v>
      </c>
      <c r="F25" s="4" t="s">
        <v>27</v>
      </c>
      <c r="G25" s="5" t="s">
        <v>28</v>
      </c>
      <c r="H25" s="6">
        <v>13.5</v>
      </c>
      <c r="I25" s="7">
        <f>VLOOKUP(G25,'CÔNG LAO ĐỘNG'!$B$9:$G$14,5,0)</f>
        <v>2024000</v>
      </c>
      <c r="J25" s="7">
        <f t="shared" si="0"/>
        <v>27324000</v>
      </c>
    </row>
    <row r="26" spans="1:10" ht="37.5" customHeight="1">
      <c r="A26" s="4">
        <v>19</v>
      </c>
      <c r="B26" s="5" t="s">
        <v>60</v>
      </c>
      <c r="C26" s="5" t="s">
        <v>61</v>
      </c>
      <c r="D26" s="4" t="s">
        <v>32</v>
      </c>
      <c r="E26" s="4" t="s">
        <v>33</v>
      </c>
      <c r="F26" s="4" t="s">
        <v>46</v>
      </c>
      <c r="G26" s="5" t="s">
        <v>47</v>
      </c>
      <c r="H26" s="6">
        <v>7</v>
      </c>
      <c r="I26" s="7">
        <f>VLOOKUP(G26,'CÔNG LAO ĐỘNG'!$B$9:$G$14,5,0)</f>
        <v>759000</v>
      </c>
      <c r="J26" s="7">
        <f t="shared" si="0"/>
        <v>5313000</v>
      </c>
    </row>
    <row r="27" spans="1:10" ht="37.5" customHeight="1">
      <c r="A27" s="4">
        <v>20</v>
      </c>
      <c r="B27" s="5" t="s">
        <v>62</v>
      </c>
      <c r="C27" s="5" t="s">
        <v>63</v>
      </c>
      <c r="D27" s="4" t="s">
        <v>32</v>
      </c>
      <c r="E27" s="4" t="s">
        <v>33</v>
      </c>
      <c r="F27" s="4" t="s">
        <v>46</v>
      </c>
      <c r="G27" s="5" t="s">
        <v>47</v>
      </c>
      <c r="H27" s="6">
        <v>7</v>
      </c>
      <c r="I27" s="7">
        <f>VLOOKUP(G27,'CÔNG LAO ĐỘNG'!$B$9:$G$14,5,0)</f>
        <v>759000</v>
      </c>
      <c r="J27" s="7">
        <f t="shared" si="0"/>
        <v>5313000</v>
      </c>
    </row>
    <row r="28" spans="1:10" ht="37.5" customHeight="1">
      <c r="A28" s="4">
        <v>21</v>
      </c>
      <c r="B28" s="5" t="s">
        <v>64</v>
      </c>
      <c r="C28" s="5" t="s">
        <v>65</v>
      </c>
      <c r="D28" s="4" t="s">
        <v>32</v>
      </c>
      <c r="E28" s="4" t="s">
        <v>33</v>
      </c>
      <c r="F28" s="4" t="s">
        <v>46</v>
      </c>
      <c r="G28" s="5" t="s">
        <v>47</v>
      </c>
      <c r="H28" s="6">
        <v>11</v>
      </c>
      <c r="I28" s="7">
        <f>VLOOKUP(G28,'CÔNG LAO ĐỘNG'!$B$9:$G$14,5,0)</f>
        <v>759000</v>
      </c>
      <c r="J28" s="7">
        <f t="shared" si="0"/>
        <v>8349000</v>
      </c>
    </row>
    <row r="29" spans="1:10" ht="37.5" customHeight="1">
      <c r="A29" s="4">
        <v>22</v>
      </c>
      <c r="B29" s="5" t="s">
        <v>66</v>
      </c>
      <c r="C29" s="5" t="s">
        <v>67</v>
      </c>
      <c r="D29" s="4" t="s">
        <v>32</v>
      </c>
      <c r="E29" s="4" t="s">
        <v>33</v>
      </c>
      <c r="F29" s="4" t="s">
        <v>46</v>
      </c>
      <c r="G29" s="5" t="s">
        <v>47</v>
      </c>
      <c r="H29" s="6">
        <v>10.5</v>
      </c>
      <c r="I29" s="7">
        <f>VLOOKUP(G29,'CÔNG LAO ĐỘNG'!$B$9:$G$14,5,0)</f>
        <v>759000</v>
      </c>
      <c r="J29" s="7">
        <f t="shared" si="0"/>
        <v>7969500</v>
      </c>
    </row>
    <row r="30" spans="1:10" ht="37.5" customHeight="1">
      <c r="A30" s="4">
        <v>23</v>
      </c>
      <c r="B30" s="5" t="s">
        <v>68</v>
      </c>
      <c r="C30" s="5" t="s">
        <v>69</v>
      </c>
      <c r="D30" s="4" t="s">
        <v>32</v>
      </c>
      <c r="E30" s="4" t="s">
        <v>33</v>
      </c>
      <c r="F30" s="4" t="s">
        <v>27</v>
      </c>
      <c r="G30" s="5" t="s">
        <v>28</v>
      </c>
      <c r="H30" s="6">
        <v>7.5</v>
      </c>
      <c r="I30" s="7">
        <f>VLOOKUP(G30,'CÔNG LAO ĐỘNG'!$B$9:$G$14,5,0)</f>
        <v>2024000</v>
      </c>
      <c r="J30" s="7">
        <f t="shared" si="0"/>
        <v>15180000</v>
      </c>
    </row>
    <row r="31" spans="1:10" ht="37.5" customHeight="1">
      <c r="A31" s="4">
        <v>24</v>
      </c>
      <c r="B31" s="5" t="s">
        <v>70</v>
      </c>
      <c r="C31" s="5" t="s">
        <v>71</v>
      </c>
      <c r="D31" s="4" t="s">
        <v>32</v>
      </c>
      <c r="E31" s="4" t="s">
        <v>33</v>
      </c>
      <c r="F31" s="4" t="s">
        <v>27</v>
      </c>
      <c r="G31" s="5" t="s">
        <v>28</v>
      </c>
      <c r="H31" s="6">
        <v>7.5</v>
      </c>
      <c r="I31" s="7">
        <f>VLOOKUP(G31,'CÔNG LAO ĐỘNG'!$B$9:$G$14,5,0)</f>
        <v>2024000</v>
      </c>
      <c r="J31" s="7">
        <f t="shared" si="0"/>
        <v>15180000</v>
      </c>
    </row>
    <row r="32" spans="1:10" ht="37.5" customHeight="1">
      <c r="A32" s="4">
        <v>25</v>
      </c>
      <c r="B32" s="5" t="s">
        <v>72</v>
      </c>
      <c r="C32" s="5" t="s">
        <v>73</v>
      </c>
      <c r="D32" s="4" t="s">
        <v>32</v>
      </c>
      <c r="E32" s="4" t="s">
        <v>33</v>
      </c>
      <c r="F32" s="4" t="s">
        <v>46</v>
      </c>
      <c r="G32" s="5" t="s">
        <v>47</v>
      </c>
      <c r="H32" s="6">
        <v>6</v>
      </c>
      <c r="I32" s="7">
        <f>VLOOKUP(G32,'CÔNG LAO ĐỘNG'!$B$9:$G$14,5,0)</f>
        <v>759000</v>
      </c>
      <c r="J32" s="7">
        <f t="shared" si="0"/>
        <v>4554000</v>
      </c>
    </row>
    <row r="33" spans="1:10" ht="37.5" customHeight="1">
      <c r="A33" s="4">
        <v>26</v>
      </c>
      <c r="B33" s="5" t="s">
        <v>74</v>
      </c>
      <c r="C33" s="5" t="s">
        <v>75</v>
      </c>
      <c r="D33" s="4" t="s">
        <v>32</v>
      </c>
      <c r="E33" s="4" t="s">
        <v>33</v>
      </c>
      <c r="F33" s="4" t="s">
        <v>46</v>
      </c>
      <c r="G33" s="5" t="s">
        <v>47</v>
      </c>
      <c r="H33" s="6">
        <v>7</v>
      </c>
      <c r="I33" s="7">
        <f>VLOOKUP(G33,'CÔNG LAO ĐỘNG'!$B$9:$G$14,5,0)</f>
        <v>759000</v>
      </c>
      <c r="J33" s="7">
        <f t="shared" si="0"/>
        <v>5313000</v>
      </c>
    </row>
    <row r="34" spans="1:10" ht="37.5" customHeight="1">
      <c r="A34" s="4">
        <v>27</v>
      </c>
      <c r="B34" s="5" t="s">
        <v>76</v>
      </c>
      <c r="C34" s="5" t="s">
        <v>77</v>
      </c>
      <c r="D34" s="4" t="s">
        <v>32</v>
      </c>
      <c r="E34" s="4" t="s">
        <v>33</v>
      </c>
      <c r="F34" s="4" t="s">
        <v>46</v>
      </c>
      <c r="G34" s="5" t="s">
        <v>47</v>
      </c>
      <c r="H34" s="6">
        <v>10.5</v>
      </c>
      <c r="I34" s="7">
        <f>VLOOKUP(G34,'CÔNG LAO ĐỘNG'!$B$9:$G$14,5,0)</f>
        <v>759000</v>
      </c>
      <c r="J34" s="7">
        <f t="shared" si="0"/>
        <v>7969500</v>
      </c>
    </row>
    <row r="35" spans="1:10" ht="37.5" customHeight="1">
      <c r="A35" s="4">
        <v>28</v>
      </c>
      <c r="B35" s="5" t="s">
        <v>78</v>
      </c>
      <c r="C35" s="5" t="s">
        <v>79</v>
      </c>
      <c r="D35" s="4" t="s">
        <v>32</v>
      </c>
      <c r="E35" s="4" t="s">
        <v>33</v>
      </c>
      <c r="F35" s="4" t="s">
        <v>46</v>
      </c>
      <c r="G35" s="5" t="s">
        <v>47</v>
      </c>
      <c r="H35" s="6">
        <v>10.5</v>
      </c>
      <c r="I35" s="7">
        <f>VLOOKUP(G35,'CÔNG LAO ĐỘNG'!$B$9:$G$14,5,0)</f>
        <v>759000</v>
      </c>
      <c r="J35" s="7">
        <f t="shared" si="0"/>
        <v>7969500</v>
      </c>
    </row>
    <row r="36" spans="1:10" ht="37.5" customHeight="1">
      <c r="A36" s="4">
        <v>29</v>
      </c>
      <c r="B36" s="5" t="s">
        <v>80</v>
      </c>
      <c r="C36" s="5" t="s">
        <v>81</v>
      </c>
      <c r="D36" s="4" t="s">
        <v>32</v>
      </c>
      <c r="E36" s="4" t="s">
        <v>33</v>
      </c>
      <c r="F36" s="4" t="s">
        <v>27</v>
      </c>
      <c r="G36" s="5" t="s">
        <v>28</v>
      </c>
      <c r="H36" s="6">
        <v>7</v>
      </c>
      <c r="I36" s="7">
        <f>VLOOKUP(G36,'CÔNG LAO ĐỘNG'!$B$9:$G$14,5,0)</f>
        <v>2024000</v>
      </c>
      <c r="J36" s="7">
        <f t="shared" si="0"/>
        <v>14168000</v>
      </c>
    </row>
    <row r="37" spans="1:10" ht="37.5" customHeight="1">
      <c r="A37" s="4">
        <v>30</v>
      </c>
      <c r="B37" s="5" t="s">
        <v>82</v>
      </c>
      <c r="C37" s="5" t="s">
        <v>83</v>
      </c>
      <c r="D37" s="4" t="s">
        <v>32</v>
      </c>
      <c r="E37" s="4" t="s">
        <v>33</v>
      </c>
      <c r="F37" s="4" t="s">
        <v>27</v>
      </c>
      <c r="G37" s="5" t="s">
        <v>28</v>
      </c>
      <c r="H37" s="6">
        <v>7.5</v>
      </c>
      <c r="I37" s="7">
        <f>VLOOKUP(G37,'CÔNG LAO ĐỘNG'!$B$9:$G$14,5,0)</f>
        <v>2024000</v>
      </c>
      <c r="J37" s="7">
        <f t="shared" si="0"/>
        <v>15180000</v>
      </c>
    </row>
    <row r="38" spans="1:10" ht="37.5" customHeight="1">
      <c r="A38" s="4">
        <v>31</v>
      </c>
      <c r="B38" s="5" t="s">
        <v>84</v>
      </c>
      <c r="C38" s="5" t="s">
        <v>85</v>
      </c>
      <c r="D38" s="4" t="s">
        <v>86</v>
      </c>
      <c r="E38" s="4" t="s">
        <v>87</v>
      </c>
      <c r="F38" s="4" t="s">
        <v>34</v>
      </c>
      <c r="G38" s="5" t="s">
        <v>88</v>
      </c>
      <c r="H38" s="6">
        <v>14</v>
      </c>
      <c r="I38" s="7">
        <f>VLOOKUP(G38,'CÔNG LAO ĐỘNG'!$B$9:$G$14,5,0)</f>
        <v>1012000</v>
      </c>
      <c r="J38" s="7">
        <f t="shared" si="0"/>
        <v>14168000</v>
      </c>
    </row>
    <row r="39" spans="1:10" ht="37.5" customHeight="1">
      <c r="A39" s="4">
        <v>32</v>
      </c>
      <c r="B39" s="5" t="s">
        <v>89</v>
      </c>
      <c r="C39" s="5" t="s">
        <v>90</v>
      </c>
      <c r="D39" s="4" t="s">
        <v>86</v>
      </c>
      <c r="E39" s="4" t="s">
        <v>87</v>
      </c>
      <c r="F39" s="4" t="s">
        <v>34</v>
      </c>
      <c r="G39" s="5" t="s">
        <v>88</v>
      </c>
      <c r="H39" s="6">
        <v>11</v>
      </c>
      <c r="I39" s="7">
        <f>VLOOKUP(G39,'CÔNG LAO ĐỘNG'!$B$9:$G$14,5,0)</f>
        <v>1012000</v>
      </c>
      <c r="J39" s="7">
        <f t="shared" si="0"/>
        <v>11132000</v>
      </c>
    </row>
    <row r="40" spans="1:10" ht="37.5" customHeight="1">
      <c r="A40" s="4">
        <v>33</v>
      </c>
      <c r="B40" s="5" t="s">
        <v>91</v>
      </c>
      <c r="C40" s="5" t="s">
        <v>92</v>
      </c>
      <c r="D40" s="4" t="s">
        <v>86</v>
      </c>
      <c r="E40" s="4" t="s">
        <v>87</v>
      </c>
      <c r="F40" s="4" t="s">
        <v>34</v>
      </c>
      <c r="G40" s="5" t="s">
        <v>88</v>
      </c>
      <c r="H40" s="6">
        <v>2</v>
      </c>
      <c r="I40" s="7">
        <f>VLOOKUP(G40,'CÔNG LAO ĐỘNG'!$B$9:$G$14,5,0)</f>
        <v>1012000</v>
      </c>
      <c r="J40" s="7">
        <f t="shared" ref="J40:J69" si="1">H40*I40</f>
        <v>2024000</v>
      </c>
    </row>
    <row r="41" spans="1:10" ht="37.5" customHeight="1">
      <c r="A41" s="4"/>
      <c r="B41" s="5" t="s">
        <v>93</v>
      </c>
      <c r="C41" s="5" t="s">
        <v>92</v>
      </c>
      <c r="D41" s="4" t="s">
        <v>86</v>
      </c>
      <c r="E41" s="4" t="s">
        <v>87</v>
      </c>
      <c r="F41" s="4" t="s">
        <v>27</v>
      </c>
      <c r="G41" s="5" t="s">
        <v>28</v>
      </c>
      <c r="H41" s="6">
        <v>2.5</v>
      </c>
      <c r="I41" s="7">
        <f>VLOOKUP(G41,'CÔNG LAO ĐỘNG'!$B$9:$G$14,5,0)</f>
        <v>2024000</v>
      </c>
      <c r="J41" s="7">
        <f t="shared" si="1"/>
        <v>5060000</v>
      </c>
    </row>
    <row r="42" spans="1:10" ht="37.5" customHeight="1">
      <c r="A42" s="4">
        <v>34</v>
      </c>
      <c r="B42" s="5" t="s">
        <v>94</v>
      </c>
      <c r="C42" s="5" t="s">
        <v>95</v>
      </c>
      <c r="D42" s="4" t="s">
        <v>86</v>
      </c>
      <c r="E42" s="4" t="s">
        <v>87</v>
      </c>
      <c r="F42" s="4" t="s">
        <v>34</v>
      </c>
      <c r="G42" s="5" t="s">
        <v>88</v>
      </c>
      <c r="H42" s="6">
        <v>7.5</v>
      </c>
      <c r="I42" s="7">
        <f>VLOOKUP(G42,'CÔNG LAO ĐỘNG'!$B$9:$G$14,5,0)</f>
        <v>1012000</v>
      </c>
      <c r="J42" s="7">
        <f t="shared" si="1"/>
        <v>7590000</v>
      </c>
    </row>
    <row r="43" spans="1:10" ht="37.5" customHeight="1">
      <c r="A43" s="4">
        <v>35</v>
      </c>
      <c r="B43" s="5" t="s">
        <v>96</v>
      </c>
      <c r="C43" s="5" t="s">
        <v>97</v>
      </c>
      <c r="D43" s="4" t="s">
        <v>98</v>
      </c>
      <c r="E43" s="4" t="s">
        <v>99</v>
      </c>
      <c r="F43" s="4" t="s">
        <v>17</v>
      </c>
      <c r="G43" s="5" t="s">
        <v>18</v>
      </c>
      <c r="H43" s="6">
        <v>14.5</v>
      </c>
      <c r="I43" s="7">
        <f>VLOOKUP(G43,'CÔNG LAO ĐỘNG'!$B$9:$G$14,5,0)</f>
        <v>1265000</v>
      </c>
      <c r="J43" s="7">
        <f t="shared" si="1"/>
        <v>18342500</v>
      </c>
    </row>
    <row r="44" spans="1:10" ht="37.5" customHeight="1">
      <c r="A44" s="4">
        <v>36</v>
      </c>
      <c r="B44" s="5" t="s">
        <v>100</v>
      </c>
      <c r="C44" s="5" t="s">
        <v>101</v>
      </c>
      <c r="D44" s="4" t="s">
        <v>98</v>
      </c>
      <c r="E44" s="4" t="s">
        <v>99</v>
      </c>
      <c r="F44" s="4" t="s">
        <v>46</v>
      </c>
      <c r="G44" s="5" t="s">
        <v>102</v>
      </c>
      <c r="H44" s="6">
        <v>16.5</v>
      </c>
      <c r="I44" s="7">
        <f>VLOOKUP(G44,'CÔNG LAO ĐỘNG'!$B$9:$G$14,5,0)</f>
        <v>759000</v>
      </c>
      <c r="J44" s="7">
        <f t="shared" si="1"/>
        <v>12523500</v>
      </c>
    </row>
    <row r="45" spans="1:10" ht="37.5" customHeight="1">
      <c r="A45" s="4">
        <v>37</v>
      </c>
      <c r="B45" s="5" t="s">
        <v>103</v>
      </c>
      <c r="C45" s="5" t="s">
        <v>104</v>
      </c>
      <c r="D45" s="4" t="s">
        <v>98</v>
      </c>
      <c r="E45" s="4" t="s">
        <v>99</v>
      </c>
      <c r="F45" s="4" t="s">
        <v>46</v>
      </c>
      <c r="G45" s="5" t="s">
        <v>102</v>
      </c>
      <c r="H45" s="6">
        <v>21</v>
      </c>
      <c r="I45" s="7">
        <f>VLOOKUP(G45,'CÔNG LAO ĐỘNG'!$B$9:$G$14,5,0)</f>
        <v>759000</v>
      </c>
      <c r="J45" s="7">
        <f t="shared" si="1"/>
        <v>15939000</v>
      </c>
    </row>
    <row r="46" spans="1:10" ht="37.5" customHeight="1">
      <c r="A46" s="4">
        <v>38</v>
      </c>
      <c r="B46" s="5" t="s">
        <v>105</v>
      </c>
      <c r="C46" s="5" t="s">
        <v>106</v>
      </c>
      <c r="D46" s="4" t="s">
        <v>98</v>
      </c>
      <c r="E46" s="4" t="s">
        <v>99</v>
      </c>
      <c r="F46" s="4" t="s">
        <v>46</v>
      </c>
      <c r="G46" s="5" t="s">
        <v>102</v>
      </c>
      <c r="H46" s="6">
        <v>17.5</v>
      </c>
      <c r="I46" s="7">
        <f>VLOOKUP(G46,'CÔNG LAO ĐỘNG'!$B$9:$G$14,5,0)</f>
        <v>759000</v>
      </c>
      <c r="J46" s="7">
        <f t="shared" si="1"/>
        <v>13282500</v>
      </c>
    </row>
    <row r="47" spans="1:10" ht="37.5" customHeight="1">
      <c r="A47" s="4">
        <v>39</v>
      </c>
      <c r="B47" s="5" t="s">
        <v>107</v>
      </c>
      <c r="C47" s="5" t="s">
        <v>108</v>
      </c>
      <c r="D47" s="4" t="s">
        <v>98</v>
      </c>
      <c r="E47" s="4" t="s">
        <v>99</v>
      </c>
      <c r="F47" s="4" t="s">
        <v>46</v>
      </c>
      <c r="G47" s="5" t="s">
        <v>102</v>
      </c>
      <c r="H47" s="6">
        <v>11</v>
      </c>
      <c r="I47" s="7">
        <f>VLOOKUP(G47,'CÔNG LAO ĐỘNG'!$B$9:$G$14,5,0)</f>
        <v>759000</v>
      </c>
      <c r="J47" s="7">
        <f t="shared" si="1"/>
        <v>8349000</v>
      </c>
    </row>
    <row r="48" spans="1:10" ht="37.5" customHeight="1">
      <c r="A48" s="4">
        <v>40</v>
      </c>
      <c r="B48" s="5" t="s">
        <v>109</v>
      </c>
      <c r="C48" s="5" t="s">
        <v>110</v>
      </c>
      <c r="D48" s="4" t="s">
        <v>98</v>
      </c>
      <c r="E48" s="4" t="s">
        <v>99</v>
      </c>
      <c r="F48" s="4" t="s">
        <v>34</v>
      </c>
      <c r="G48" s="5" t="s">
        <v>88</v>
      </c>
      <c r="H48" s="6">
        <v>11</v>
      </c>
      <c r="I48" s="7">
        <f>VLOOKUP(G48,'CÔNG LAO ĐỘNG'!$B$9:$G$14,5,0)</f>
        <v>1012000</v>
      </c>
      <c r="J48" s="7">
        <f t="shared" si="1"/>
        <v>11132000</v>
      </c>
    </row>
    <row r="49" spans="1:10" ht="37.5" customHeight="1">
      <c r="A49" s="4">
        <v>41</v>
      </c>
      <c r="B49" s="5" t="s">
        <v>111</v>
      </c>
      <c r="C49" s="5" t="s">
        <v>112</v>
      </c>
      <c r="D49" s="4" t="s">
        <v>98</v>
      </c>
      <c r="E49" s="4" t="s">
        <v>99</v>
      </c>
      <c r="F49" s="4" t="s">
        <v>34</v>
      </c>
      <c r="G49" s="5" t="s">
        <v>88</v>
      </c>
      <c r="H49" s="6">
        <v>26.5</v>
      </c>
      <c r="I49" s="7">
        <f>VLOOKUP(G49,'CÔNG LAO ĐỘNG'!$B$9:$G$14,5,0)</f>
        <v>1012000</v>
      </c>
      <c r="J49" s="7">
        <f t="shared" si="1"/>
        <v>26818000</v>
      </c>
    </row>
    <row r="50" spans="1:10" ht="37.5" customHeight="1">
      <c r="A50" s="4">
        <v>42</v>
      </c>
      <c r="B50" s="5" t="s">
        <v>113</v>
      </c>
      <c r="C50" s="5" t="s">
        <v>114</v>
      </c>
      <c r="D50" s="4" t="s">
        <v>98</v>
      </c>
      <c r="E50" s="4" t="s">
        <v>99</v>
      </c>
      <c r="F50" s="4" t="s">
        <v>34</v>
      </c>
      <c r="G50" s="5" t="s">
        <v>88</v>
      </c>
      <c r="H50" s="6">
        <v>9</v>
      </c>
      <c r="I50" s="7">
        <f>VLOOKUP(G50,'CÔNG LAO ĐỘNG'!$B$9:$G$14,5,0)</f>
        <v>1012000</v>
      </c>
      <c r="J50" s="7">
        <f t="shared" si="1"/>
        <v>9108000</v>
      </c>
    </row>
    <row r="51" spans="1:10" ht="37.5" customHeight="1">
      <c r="A51" s="4"/>
      <c r="B51" s="5" t="s">
        <v>115</v>
      </c>
      <c r="C51" s="5" t="s">
        <v>114</v>
      </c>
      <c r="D51" s="4" t="s">
        <v>98</v>
      </c>
      <c r="E51" s="4" t="s">
        <v>99</v>
      </c>
      <c r="F51" s="4" t="s">
        <v>46</v>
      </c>
      <c r="G51" s="5" t="s">
        <v>102</v>
      </c>
      <c r="H51" s="6">
        <v>13.5</v>
      </c>
      <c r="I51" s="7">
        <f>VLOOKUP(G51,'CÔNG LAO ĐỘNG'!$B$9:$G$14,5,0)</f>
        <v>759000</v>
      </c>
      <c r="J51" s="7">
        <f t="shared" si="1"/>
        <v>10246500</v>
      </c>
    </row>
    <row r="52" spans="1:10" ht="37.5" customHeight="1">
      <c r="A52" s="4">
        <v>43</v>
      </c>
      <c r="B52" s="5" t="s">
        <v>116</v>
      </c>
      <c r="C52" s="5" t="s">
        <v>117</v>
      </c>
      <c r="D52" s="4" t="s">
        <v>98</v>
      </c>
      <c r="E52" s="4" t="s">
        <v>99</v>
      </c>
      <c r="F52" s="4" t="s">
        <v>34</v>
      </c>
      <c r="G52" s="5" t="s">
        <v>88</v>
      </c>
      <c r="H52" s="6">
        <v>7.5</v>
      </c>
      <c r="I52" s="7">
        <f>VLOOKUP(G52,'CÔNG LAO ĐỘNG'!$B$9:$G$14,5,0)</f>
        <v>1012000</v>
      </c>
      <c r="J52" s="7">
        <f t="shared" si="1"/>
        <v>7590000</v>
      </c>
    </row>
    <row r="53" spans="1:10" ht="37.5" customHeight="1">
      <c r="A53" s="4">
        <v>44</v>
      </c>
      <c r="B53" s="5" t="s">
        <v>118</v>
      </c>
      <c r="C53" s="5" t="s">
        <v>119</v>
      </c>
      <c r="D53" s="4" t="s">
        <v>98</v>
      </c>
      <c r="E53" s="4" t="s">
        <v>99</v>
      </c>
      <c r="F53" s="4" t="s">
        <v>46</v>
      </c>
      <c r="G53" s="5" t="s">
        <v>102</v>
      </c>
      <c r="H53" s="6">
        <v>10.5</v>
      </c>
      <c r="I53" s="7">
        <f>VLOOKUP(G53,'CÔNG LAO ĐỘNG'!$B$9:$G$14,5,0)</f>
        <v>759000</v>
      </c>
      <c r="J53" s="7">
        <f t="shared" si="1"/>
        <v>7969500</v>
      </c>
    </row>
    <row r="54" spans="1:10" ht="37.5" customHeight="1">
      <c r="A54" s="4"/>
      <c r="B54" s="5" t="s">
        <v>120</v>
      </c>
      <c r="C54" s="5" t="s">
        <v>119</v>
      </c>
      <c r="D54" s="4" t="s">
        <v>98</v>
      </c>
      <c r="E54" s="4" t="s">
        <v>99</v>
      </c>
      <c r="F54" s="4" t="s">
        <v>34</v>
      </c>
      <c r="G54" s="5" t="s">
        <v>88</v>
      </c>
      <c r="H54" s="6">
        <v>7</v>
      </c>
      <c r="I54" s="7">
        <f>VLOOKUP(G54,'CÔNG LAO ĐỘNG'!$B$9:$G$14,5,0)</f>
        <v>1012000</v>
      </c>
      <c r="J54" s="7">
        <f t="shared" si="1"/>
        <v>7084000</v>
      </c>
    </row>
    <row r="55" spans="1:10" ht="37.5" customHeight="1">
      <c r="A55" s="4">
        <v>45</v>
      </c>
      <c r="B55" s="5" t="s">
        <v>121</v>
      </c>
      <c r="C55" s="5" t="s">
        <v>122</v>
      </c>
      <c r="D55" s="4" t="s">
        <v>98</v>
      </c>
      <c r="E55" s="4" t="s">
        <v>99</v>
      </c>
      <c r="F55" s="4" t="s">
        <v>34</v>
      </c>
      <c r="G55" s="5" t="s">
        <v>88</v>
      </c>
      <c r="H55" s="6">
        <v>11</v>
      </c>
      <c r="I55" s="7">
        <f>VLOOKUP(G55,'CÔNG LAO ĐỘNG'!$B$9:$G$14,5,0)</f>
        <v>1012000</v>
      </c>
      <c r="J55" s="7">
        <f t="shared" si="1"/>
        <v>11132000</v>
      </c>
    </row>
    <row r="56" spans="1:10" ht="37.5" customHeight="1">
      <c r="A56" s="4">
        <v>46</v>
      </c>
      <c r="B56" s="5" t="s">
        <v>123</v>
      </c>
      <c r="C56" s="5" t="s">
        <v>124</v>
      </c>
      <c r="D56" s="4" t="s">
        <v>98</v>
      </c>
      <c r="E56" s="4" t="s">
        <v>99</v>
      </c>
      <c r="F56" s="4" t="s">
        <v>46</v>
      </c>
      <c r="G56" s="5" t="s">
        <v>47</v>
      </c>
      <c r="H56" s="6">
        <v>7</v>
      </c>
      <c r="I56" s="7">
        <f>VLOOKUP(G56,'CÔNG LAO ĐỘNG'!$B$9:$G$14,5,0)</f>
        <v>759000</v>
      </c>
      <c r="J56" s="7">
        <f t="shared" si="1"/>
        <v>5313000</v>
      </c>
    </row>
    <row r="57" spans="1:10" ht="37.5" customHeight="1">
      <c r="A57" s="4">
        <v>47</v>
      </c>
      <c r="B57" s="5" t="s">
        <v>125</v>
      </c>
      <c r="C57" s="5" t="s">
        <v>126</v>
      </c>
      <c r="D57" s="4" t="s">
        <v>127</v>
      </c>
      <c r="E57" s="4" t="s">
        <v>128</v>
      </c>
      <c r="F57" s="4" t="s">
        <v>34</v>
      </c>
      <c r="G57" s="5" t="s">
        <v>35</v>
      </c>
      <c r="H57" s="6">
        <v>9.5</v>
      </c>
      <c r="I57" s="7">
        <f>VLOOKUP(G57,'CÔNG LAO ĐỘNG'!$B$9:$G$14,5,0)</f>
        <v>1012000</v>
      </c>
      <c r="J57" s="7">
        <f t="shared" si="1"/>
        <v>9614000</v>
      </c>
    </row>
    <row r="58" spans="1:10" ht="37.5" customHeight="1">
      <c r="A58" s="4">
        <v>48</v>
      </c>
      <c r="B58" s="5" t="s">
        <v>129</v>
      </c>
      <c r="C58" s="5" t="s">
        <v>130</v>
      </c>
      <c r="D58" s="4" t="s">
        <v>127</v>
      </c>
      <c r="E58" s="4" t="s">
        <v>128</v>
      </c>
      <c r="F58" s="4" t="s">
        <v>34</v>
      </c>
      <c r="G58" s="5" t="s">
        <v>35</v>
      </c>
      <c r="H58" s="6">
        <v>15</v>
      </c>
      <c r="I58" s="7">
        <f>VLOOKUP(G58,'CÔNG LAO ĐỘNG'!$B$9:$G$14,5,0)</f>
        <v>1012000</v>
      </c>
      <c r="J58" s="7">
        <f t="shared" si="1"/>
        <v>15180000</v>
      </c>
    </row>
    <row r="59" spans="1:10" ht="37.5" customHeight="1">
      <c r="A59" s="4">
        <v>49</v>
      </c>
      <c r="B59" s="5" t="s">
        <v>131</v>
      </c>
      <c r="C59" s="5" t="s">
        <v>132</v>
      </c>
      <c r="D59" s="4" t="s">
        <v>127</v>
      </c>
      <c r="E59" s="4" t="s">
        <v>128</v>
      </c>
      <c r="F59" s="4" t="s">
        <v>34</v>
      </c>
      <c r="G59" s="5" t="s">
        <v>35</v>
      </c>
      <c r="H59" s="6">
        <v>9</v>
      </c>
      <c r="I59" s="7">
        <f>VLOOKUP(G59,'CÔNG LAO ĐỘNG'!$B$9:$G$14,5,0)</f>
        <v>1012000</v>
      </c>
      <c r="J59" s="7">
        <f t="shared" si="1"/>
        <v>9108000</v>
      </c>
    </row>
    <row r="60" spans="1:10" ht="37.5" customHeight="1">
      <c r="A60" s="4"/>
      <c r="B60" s="5" t="s">
        <v>133</v>
      </c>
      <c r="C60" s="5" t="s">
        <v>132</v>
      </c>
      <c r="D60" s="4" t="s">
        <v>127</v>
      </c>
      <c r="E60" s="4" t="s">
        <v>128</v>
      </c>
      <c r="F60" s="4" t="s">
        <v>46</v>
      </c>
      <c r="G60" s="5" t="s">
        <v>47</v>
      </c>
      <c r="H60" s="6">
        <v>6.5</v>
      </c>
      <c r="I60" s="7">
        <f>VLOOKUP(G60,'CÔNG LAO ĐỘNG'!$B$9:$G$14,5,0)</f>
        <v>759000</v>
      </c>
      <c r="J60" s="7">
        <f t="shared" si="1"/>
        <v>4933500</v>
      </c>
    </row>
    <row r="61" spans="1:10" ht="37.5" customHeight="1">
      <c r="A61" s="4">
        <v>50</v>
      </c>
      <c r="B61" s="5" t="s">
        <v>134</v>
      </c>
      <c r="C61" s="5" t="s">
        <v>135</v>
      </c>
      <c r="D61" s="4" t="s">
        <v>127</v>
      </c>
      <c r="E61" s="4" t="s">
        <v>128</v>
      </c>
      <c r="F61" s="4" t="s">
        <v>46</v>
      </c>
      <c r="G61" s="5" t="s">
        <v>102</v>
      </c>
      <c r="H61" s="6">
        <v>8</v>
      </c>
      <c r="I61" s="7">
        <f>VLOOKUP(G61,'CÔNG LAO ĐỘNG'!$B$9:$G$14,5,0)</f>
        <v>759000</v>
      </c>
      <c r="J61" s="7">
        <f t="shared" si="1"/>
        <v>6072000</v>
      </c>
    </row>
    <row r="62" spans="1:10" ht="37.5" customHeight="1">
      <c r="A62" s="4"/>
      <c r="B62" s="5" t="s">
        <v>136</v>
      </c>
      <c r="C62" s="5" t="s">
        <v>135</v>
      </c>
      <c r="D62" s="4" t="s">
        <v>127</v>
      </c>
      <c r="E62" s="4" t="s">
        <v>128</v>
      </c>
      <c r="F62" s="4" t="s">
        <v>34</v>
      </c>
      <c r="G62" s="5" t="s">
        <v>88</v>
      </c>
      <c r="H62" s="6">
        <v>5.5</v>
      </c>
      <c r="I62" s="7">
        <f>VLOOKUP(G62,'CÔNG LAO ĐỘNG'!$B$9:$G$14,5,0)</f>
        <v>1012000</v>
      </c>
      <c r="J62" s="7">
        <f t="shared" si="1"/>
        <v>5566000</v>
      </c>
    </row>
    <row r="63" spans="1:10" ht="37.5" customHeight="1">
      <c r="A63" s="4">
        <v>51</v>
      </c>
      <c r="B63" s="5" t="s">
        <v>137</v>
      </c>
      <c r="C63" s="5" t="s">
        <v>138</v>
      </c>
      <c r="D63" s="4" t="s">
        <v>139</v>
      </c>
      <c r="E63" s="4" t="s">
        <v>140</v>
      </c>
      <c r="F63" s="4" t="s">
        <v>34</v>
      </c>
      <c r="G63" s="5" t="s">
        <v>35</v>
      </c>
      <c r="H63" s="6">
        <v>8.5</v>
      </c>
      <c r="I63" s="7">
        <f>VLOOKUP(G63,'CÔNG LAO ĐỘNG'!$B$9:$G$14,5,0)</f>
        <v>1012000</v>
      </c>
      <c r="J63" s="7">
        <f t="shared" si="1"/>
        <v>8602000</v>
      </c>
    </row>
    <row r="64" spans="1:10" ht="37.5" customHeight="1">
      <c r="A64" s="4">
        <v>52</v>
      </c>
      <c r="B64" s="5" t="s">
        <v>141</v>
      </c>
      <c r="C64" s="5" t="s">
        <v>138</v>
      </c>
      <c r="D64" s="4" t="s">
        <v>139</v>
      </c>
      <c r="E64" s="4" t="s">
        <v>140</v>
      </c>
      <c r="F64" s="4" t="s">
        <v>46</v>
      </c>
      <c r="G64" s="5" t="s">
        <v>102</v>
      </c>
      <c r="H64" s="6">
        <v>5.5</v>
      </c>
      <c r="I64" s="7">
        <f>VLOOKUP(G64,'CÔNG LAO ĐỘNG'!$B$9:$G$14,5,0)</f>
        <v>759000</v>
      </c>
      <c r="J64" s="7">
        <f t="shared" si="1"/>
        <v>4174500</v>
      </c>
    </row>
    <row r="65" spans="1:10" ht="37.5" customHeight="1">
      <c r="A65" s="4"/>
      <c r="B65" s="5" t="s">
        <v>142</v>
      </c>
      <c r="C65" s="5" t="s">
        <v>138</v>
      </c>
      <c r="D65" s="4" t="s">
        <v>139</v>
      </c>
      <c r="E65" s="4" t="s">
        <v>140</v>
      </c>
      <c r="F65" s="4" t="s">
        <v>34</v>
      </c>
      <c r="G65" s="5" t="s">
        <v>35</v>
      </c>
      <c r="H65" s="6">
        <v>4.5</v>
      </c>
      <c r="I65" s="7">
        <f>VLOOKUP(G65,'CÔNG LAO ĐỘNG'!$B$9:$G$14,5,0)</f>
        <v>1012000</v>
      </c>
      <c r="J65" s="7">
        <f t="shared" si="1"/>
        <v>4554000</v>
      </c>
    </row>
    <row r="66" spans="1:10" ht="37.5" customHeight="1">
      <c r="A66" s="4">
        <v>53</v>
      </c>
      <c r="B66" s="5" t="s">
        <v>143</v>
      </c>
      <c r="C66" s="5" t="s">
        <v>144</v>
      </c>
      <c r="D66" s="4" t="s">
        <v>139</v>
      </c>
      <c r="E66" s="4" t="s">
        <v>140</v>
      </c>
      <c r="F66" s="4" t="s">
        <v>17</v>
      </c>
      <c r="G66" s="5" t="s">
        <v>18</v>
      </c>
      <c r="H66" s="6">
        <v>7</v>
      </c>
      <c r="I66" s="7">
        <f>VLOOKUP(G66,'CÔNG LAO ĐỘNG'!$B$9:$G$14,5,0)</f>
        <v>1265000</v>
      </c>
      <c r="J66" s="7">
        <f t="shared" si="1"/>
        <v>8855000</v>
      </c>
    </row>
    <row r="67" spans="1:10" ht="37.5" customHeight="1">
      <c r="A67" s="4"/>
      <c r="B67" s="5" t="s">
        <v>145</v>
      </c>
      <c r="C67" s="5" t="s">
        <v>144</v>
      </c>
      <c r="D67" s="4" t="s">
        <v>139</v>
      </c>
      <c r="E67" s="4" t="s">
        <v>140</v>
      </c>
      <c r="F67" s="4" t="s">
        <v>46</v>
      </c>
      <c r="G67" s="5" t="s">
        <v>102</v>
      </c>
      <c r="H67" s="6">
        <v>8</v>
      </c>
      <c r="I67" s="7">
        <f>VLOOKUP(G67,'CÔNG LAO ĐỘNG'!$B$9:$G$14,5,0)</f>
        <v>759000</v>
      </c>
      <c r="J67" s="7">
        <f t="shared" si="1"/>
        <v>6072000</v>
      </c>
    </row>
    <row r="68" spans="1:10" ht="37.5" customHeight="1">
      <c r="A68" s="4">
        <v>54</v>
      </c>
      <c r="B68" s="5" t="s">
        <v>146</v>
      </c>
      <c r="C68" s="5" t="s">
        <v>147</v>
      </c>
      <c r="D68" s="4" t="s">
        <v>139</v>
      </c>
      <c r="E68" s="4" t="s">
        <v>140</v>
      </c>
      <c r="F68" s="4" t="s">
        <v>17</v>
      </c>
      <c r="G68" s="5" t="s">
        <v>18</v>
      </c>
      <c r="H68" s="6">
        <v>5.5</v>
      </c>
      <c r="I68" s="7">
        <f>VLOOKUP(G68,'CÔNG LAO ĐỘNG'!$B$9:$G$14,5,0)</f>
        <v>1265000</v>
      </c>
      <c r="J68" s="7">
        <f t="shared" si="1"/>
        <v>6957500</v>
      </c>
    </row>
    <row r="69" spans="1:10" ht="37.5" customHeight="1">
      <c r="A69" s="4">
        <v>55</v>
      </c>
      <c r="B69" s="5" t="s">
        <v>148</v>
      </c>
      <c r="C69" s="5" t="s">
        <v>149</v>
      </c>
      <c r="D69" s="4" t="s">
        <v>139</v>
      </c>
      <c r="E69" s="4" t="s">
        <v>140</v>
      </c>
      <c r="F69" s="4" t="s">
        <v>34</v>
      </c>
      <c r="G69" s="5" t="s">
        <v>35</v>
      </c>
      <c r="H69" s="6">
        <v>9.5</v>
      </c>
      <c r="I69" s="7">
        <f>VLOOKUP(G69,'CÔNG LAO ĐỘNG'!$B$9:$G$14,5,0)</f>
        <v>1012000</v>
      </c>
      <c r="J69" s="7">
        <f t="shared" si="1"/>
        <v>9614000</v>
      </c>
    </row>
    <row r="70" spans="1:10">
      <c r="A70" s="8"/>
      <c r="B70" s="9" t="s">
        <v>150</v>
      </c>
      <c r="C70" s="8"/>
      <c r="D70" s="8"/>
      <c r="E70" s="8"/>
      <c r="F70" s="8"/>
      <c r="G70" s="8"/>
      <c r="H70" s="10">
        <f>SUM(H8:H69)</f>
        <v>612.5</v>
      </c>
      <c r="I70" s="8"/>
      <c r="J70" s="11">
        <f>SUM(J8:J69)</f>
        <v>666528500</v>
      </c>
    </row>
  </sheetData>
  <mergeCells count="1">
    <mergeCell ref="A1:J1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7"/>
  <sheetViews>
    <sheetView topLeftCell="A18" workbookViewId="0">
      <selection activeCell="D22" sqref="D22:D27"/>
    </sheetView>
  </sheetViews>
  <sheetFormatPr defaultRowHeight="14.25"/>
  <cols>
    <col min="1" max="1" width="11.42578125" customWidth="1"/>
    <col min="2" max="2" width="46" customWidth="1"/>
    <col min="3" max="3" width="20" customWidth="1"/>
    <col min="4" max="4" width="46" customWidth="1"/>
  </cols>
  <sheetData>
    <row r="1" spans="1:4" ht="16.5" customHeight="1">
      <c r="A1" s="41" t="s">
        <v>151</v>
      </c>
      <c r="B1" s="41"/>
      <c r="C1" s="41"/>
      <c r="D1" s="41"/>
    </row>
    <row r="2" spans="1:4" ht="16.5" customHeight="1">
      <c r="A2" s="29"/>
      <c r="B2" s="29"/>
      <c r="C2" s="29"/>
      <c r="D2" s="29"/>
    </row>
    <row r="3" spans="1:4" ht="15">
      <c r="A3" s="12" t="s">
        <v>152</v>
      </c>
      <c r="B3" s="12" t="s">
        <v>153</v>
      </c>
    </row>
    <row r="4" spans="1:4">
      <c r="A4" s="12" t="s">
        <v>154</v>
      </c>
      <c r="B4" s="12" t="s">
        <v>155</v>
      </c>
    </row>
    <row r="5" spans="1:4">
      <c r="A5" s="12" t="s">
        <v>156</v>
      </c>
      <c r="B5" s="12" t="s">
        <v>28</v>
      </c>
    </row>
    <row r="6" spans="1:4">
      <c r="A6" s="12" t="s">
        <v>157</v>
      </c>
      <c r="B6" s="13" t="s">
        <v>158</v>
      </c>
    </row>
    <row r="8" spans="1:4">
      <c r="A8" s="27" t="s">
        <v>3</v>
      </c>
      <c r="B8" s="27" t="s">
        <v>159</v>
      </c>
      <c r="C8" s="27" t="s">
        <v>160</v>
      </c>
      <c r="D8" s="27" t="s">
        <v>161</v>
      </c>
    </row>
    <row r="9" spans="1:4" ht="32.25" customHeight="1">
      <c r="A9" s="4">
        <v>1</v>
      </c>
      <c r="B9" s="5" t="s">
        <v>162</v>
      </c>
      <c r="C9" s="7">
        <f>'CÔNG LAO ĐỘNG'!G15</f>
        <v>666528500</v>
      </c>
      <c r="D9" s="5" t="s">
        <v>163</v>
      </c>
    </row>
    <row r="10" spans="1:4" ht="32.25" customHeight="1">
      <c r="A10" s="4">
        <v>2</v>
      </c>
      <c r="B10" s="5" t="s">
        <v>164</v>
      </c>
      <c r="C10" s="7">
        <f>'THIẾT BỊ VẬT TỰ'!F22</f>
        <v>390000000</v>
      </c>
      <c r="D10" s="5" t="s">
        <v>165</v>
      </c>
    </row>
    <row r="11" spans="1:4" ht="32.25" customHeight="1">
      <c r="A11" s="4">
        <v>3</v>
      </c>
      <c r="B11" s="5" t="s">
        <v>166</v>
      </c>
      <c r="C11" s="7">
        <f>'CHI PHÍ KHÁC'!D21</f>
        <v>72000000</v>
      </c>
      <c r="D11" s="5" t="s">
        <v>167</v>
      </c>
    </row>
    <row r="12" spans="1:4" ht="25.5">
      <c r="A12" s="8"/>
      <c r="B12" s="9" t="s">
        <v>168</v>
      </c>
      <c r="C12" s="11">
        <f>SUM(C9:C11)</f>
        <v>1128528500</v>
      </c>
      <c r="D12" s="30" t="s">
        <v>169</v>
      </c>
    </row>
    <row r="14" spans="1:4">
      <c r="A14" s="17" t="s">
        <v>170</v>
      </c>
    </row>
    <row r="15" spans="1:4">
      <c r="A15" s="27" t="s">
        <v>3</v>
      </c>
      <c r="B15" s="27" t="s">
        <v>171</v>
      </c>
      <c r="C15" s="27" t="s">
        <v>172</v>
      </c>
      <c r="D15" s="27" t="s">
        <v>173</v>
      </c>
    </row>
    <row r="16" spans="1:4" ht="33.75" customHeight="1">
      <c r="A16" s="3">
        <v>1</v>
      </c>
      <c r="B16" s="21" t="s">
        <v>174</v>
      </c>
      <c r="C16" s="19">
        <f>'CHI PHÍ KHÁC'!$D$6</f>
        <v>1128528500</v>
      </c>
      <c r="D16" s="21" t="s">
        <v>175</v>
      </c>
    </row>
    <row r="17" spans="1:4" ht="33.75" customHeight="1">
      <c r="A17" s="3">
        <v>2</v>
      </c>
      <c r="B17" s="21" t="s">
        <v>176</v>
      </c>
      <c r="C17" s="19">
        <f>C12-C16</f>
        <v>0</v>
      </c>
      <c r="D17" s="21" t="s">
        <v>177</v>
      </c>
    </row>
    <row r="18" spans="1:4" ht="33.75" customHeight="1">
      <c r="A18" s="4">
        <v>3</v>
      </c>
      <c r="B18" s="5" t="s">
        <v>178</v>
      </c>
      <c r="C18" s="7">
        <v>666528500</v>
      </c>
      <c r="D18" s="5" t="s">
        <v>179</v>
      </c>
    </row>
    <row r="19" spans="1:4" ht="33.75" customHeight="1">
      <c r="A19" s="4">
        <v>4</v>
      </c>
      <c r="B19" s="5" t="s">
        <v>180</v>
      </c>
      <c r="C19" s="7">
        <f>C9-C18</f>
        <v>0</v>
      </c>
      <c r="D19" s="5" t="s">
        <v>181</v>
      </c>
    </row>
    <row r="20" spans="1:4" ht="33.75" customHeight="1">
      <c r="A20" s="4">
        <v>5</v>
      </c>
      <c r="B20" s="5" t="s">
        <v>182</v>
      </c>
      <c r="C20" s="15">
        <f>IF(C18=0,0,C19/C18)</f>
        <v>0</v>
      </c>
      <c r="D20" s="5" t="s">
        <v>183</v>
      </c>
    </row>
    <row r="22" spans="1:4">
      <c r="D22" s="45" t="s">
        <v>184</v>
      </c>
    </row>
    <row r="23" spans="1:4" ht="15">
      <c r="B23" s="20" t="s">
        <v>185</v>
      </c>
      <c r="D23" s="20" t="s">
        <v>186</v>
      </c>
    </row>
    <row r="24" spans="1:4">
      <c r="D24" s="43"/>
    </row>
    <row r="25" spans="1:4">
      <c r="D25" s="43"/>
    </row>
    <row r="26" spans="1:4">
      <c r="D26" s="43"/>
    </row>
    <row r="27" spans="1:4" ht="15">
      <c r="B27" s="20" t="s">
        <v>187</v>
      </c>
      <c r="D27" s="20" t="s">
        <v>28</v>
      </c>
    </row>
  </sheetData>
  <mergeCells count="1">
    <mergeCell ref="A1:D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A13" workbookViewId="0">
      <selection activeCell="G23" sqref="G23"/>
    </sheetView>
  </sheetViews>
  <sheetFormatPr defaultRowHeight="14.25"/>
  <cols>
    <col min="1" max="1" width="11.42578125" customWidth="1"/>
    <col min="2" max="2" width="24" customWidth="1"/>
    <col min="3" max="3" width="41.42578125" customWidth="1"/>
    <col min="4" max="4" width="14" customWidth="1"/>
    <col min="5" max="5" width="13" customWidth="1"/>
    <col min="6" max="6" width="17" customWidth="1"/>
    <col min="7" max="7" width="28.7109375" customWidth="1"/>
    <col min="8" max="8" width="14" customWidth="1"/>
  </cols>
  <sheetData>
    <row r="1" spans="1:8" ht="39" customHeight="1">
      <c r="A1" s="37" t="s">
        <v>188</v>
      </c>
      <c r="B1" s="37"/>
      <c r="C1" s="37"/>
      <c r="D1" s="37"/>
      <c r="E1" s="37"/>
      <c r="F1" s="37"/>
      <c r="G1" s="37"/>
      <c r="H1" s="37"/>
    </row>
    <row r="2" spans="1:8" ht="19.5" customHeight="1">
      <c r="A2" s="28"/>
      <c r="B2" s="28"/>
      <c r="C2" s="28"/>
      <c r="D2" s="28"/>
      <c r="E2" s="28"/>
      <c r="F2" s="28"/>
      <c r="G2" s="28"/>
      <c r="H2" s="28"/>
    </row>
    <row r="3" spans="1:8" ht="15">
      <c r="A3" s="12" t="s">
        <v>152</v>
      </c>
      <c r="B3" s="12" t="s">
        <v>153</v>
      </c>
    </row>
    <row r="4" spans="1:8">
      <c r="A4" s="12" t="s">
        <v>154</v>
      </c>
      <c r="B4" s="12" t="s">
        <v>155</v>
      </c>
    </row>
    <row r="5" spans="1:8">
      <c r="A5" s="12" t="s">
        <v>156</v>
      </c>
      <c r="B5" s="12" t="s">
        <v>28</v>
      </c>
    </row>
    <row r="6" spans="1:8">
      <c r="A6" s="13" t="s">
        <v>189</v>
      </c>
      <c r="E6" s="14">
        <v>2530000</v>
      </c>
    </row>
    <row r="8" spans="1:8" ht="25.5" customHeight="1">
      <c r="A8" s="27" t="s">
        <v>3</v>
      </c>
      <c r="B8" s="27" t="s">
        <v>190</v>
      </c>
      <c r="C8" s="27" t="s">
        <v>191</v>
      </c>
      <c r="D8" s="27" t="s">
        <v>10</v>
      </c>
      <c r="E8" s="27" t="s">
        <v>192</v>
      </c>
      <c r="F8" s="27" t="s">
        <v>11</v>
      </c>
      <c r="G8" s="27" t="s">
        <v>12</v>
      </c>
      <c r="H8" s="27" t="s">
        <v>193</v>
      </c>
    </row>
    <row r="9" spans="1:8" ht="30" customHeight="1">
      <c r="A9" s="4">
        <v>1</v>
      </c>
      <c r="B9" s="5" t="s">
        <v>28</v>
      </c>
      <c r="C9" s="5" t="s">
        <v>194</v>
      </c>
      <c r="D9" s="6">
        <f>SUMIF('CÔNG VIỆC'!$G:$G,$B9,'CÔNG VIỆC'!$H:$H)</f>
        <v>80.5</v>
      </c>
      <c r="E9" s="32">
        <v>0.8</v>
      </c>
      <c r="F9" s="7">
        <f t="shared" ref="F9:F14" si="0">E9*$E$6</f>
        <v>2024000</v>
      </c>
      <c r="G9" s="7">
        <f t="shared" ref="G9:G14" si="1">D9*F9</f>
        <v>162932000</v>
      </c>
      <c r="H9" s="15">
        <f t="shared" ref="H9:H15" si="2">IF($G$15=0,0,G9/$G$15)</f>
        <v>0.24444866198519644</v>
      </c>
    </row>
    <row r="10" spans="1:8" ht="30" customHeight="1">
      <c r="A10" s="4">
        <v>2</v>
      </c>
      <c r="B10" s="5" t="s">
        <v>18</v>
      </c>
      <c r="C10" s="5" t="s">
        <v>195</v>
      </c>
      <c r="D10" s="6">
        <f>SUMIF('CÔNG VIỆC'!$G:$G,$B10,'CÔNG VIỆC'!$H:$H)</f>
        <v>84</v>
      </c>
      <c r="E10" s="32">
        <v>0.5</v>
      </c>
      <c r="F10" s="7">
        <f t="shared" si="0"/>
        <v>1265000</v>
      </c>
      <c r="G10" s="7">
        <f t="shared" si="1"/>
        <v>106260000</v>
      </c>
      <c r="H10" s="15">
        <f t="shared" si="2"/>
        <v>0.15942304042512812</v>
      </c>
    </row>
    <row r="11" spans="1:8" ht="30" customHeight="1">
      <c r="A11" s="4">
        <v>3</v>
      </c>
      <c r="B11" s="5" t="s">
        <v>35</v>
      </c>
      <c r="C11" s="5" t="s">
        <v>196</v>
      </c>
      <c r="D11" s="6">
        <f>SUMIF('CÔNG VIỆC'!$G:$G,$B11,'CÔNG VIỆC'!$H:$H)</f>
        <v>114.5</v>
      </c>
      <c r="E11" s="32">
        <v>0.4</v>
      </c>
      <c r="F11" s="7">
        <f t="shared" si="0"/>
        <v>1012000</v>
      </c>
      <c r="G11" s="7">
        <f t="shared" si="1"/>
        <v>115874000</v>
      </c>
      <c r="H11" s="15">
        <f t="shared" si="2"/>
        <v>0.1738470297969254</v>
      </c>
    </row>
    <row r="12" spans="1:8" ht="30" customHeight="1">
      <c r="A12" s="4">
        <v>4</v>
      </c>
      <c r="B12" s="5" t="s">
        <v>88</v>
      </c>
      <c r="C12" s="5" t="s">
        <v>197</v>
      </c>
      <c r="D12" s="6">
        <f>SUMIF('CÔNG VIỆC'!$G:$G,$B12,'CÔNG VIỆC'!$H:$H)</f>
        <v>112</v>
      </c>
      <c r="E12" s="32">
        <v>0.4</v>
      </c>
      <c r="F12" s="7">
        <f t="shared" si="0"/>
        <v>1012000</v>
      </c>
      <c r="G12" s="7">
        <f t="shared" si="1"/>
        <v>113344000</v>
      </c>
      <c r="H12" s="15">
        <f t="shared" si="2"/>
        <v>0.17005124312013664</v>
      </c>
    </row>
    <row r="13" spans="1:8" ht="30" customHeight="1">
      <c r="A13" s="4">
        <v>5</v>
      </c>
      <c r="B13" s="5" t="s">
        <v>47</v>
      </c>
      <c r="C13" s="5" t="s">
        <v>198</v>
      </c>
      <c r="D13" s="6">
        <f>SUMIF('CÔNG VIỆC'!$G:$G,$B13,'CÔNG VIỆC'!$H:$H)</f>
        <v>110</v>
      </c>
      <c r="E13" s="32">
        <v>0.3</v>
      </c>
      <c r="F13" s="7">
        <f t="shared" si="0"/>
        <v>759000</v>
      </c>
      <c r="G13" s="7">
        <f t="shared" si="1"/>
        <v>83490000</v>
      </c>
      <c r="H13" s="15">
        <f t="shared" si="2"/>
        <v>0.12526096033402923</v>
      </c>
    </row>
    <row r="14" spans="1:8" ht="30" customHeight="1">
      <c r="A14" s="4">
        <v>6</v>
      </c>
      <c r="B14" s="5" t="s">
        <v>102</v>
      </c>
      <c r="C14" s="5" t="s">
        <v>199</v>
      </c>
      <c r="D14" s="6">
        <f>SUMIF('CÔNG VIỆC'!$G:$G,$B14,'CÔNG VIỆC'!$H:$H)</f>
        <v>111.5</v>
      </c>
      <c r="E14" s="32">
        <v>0.3</v>
      </c>
      <c r="F14" s="7">
        <f t="shared" si="0"/>
        <v>759000</v>
      </c>
      <c r="G14" s="7">
        <f t="shared" si="1"/>
        <v>84628500</v>
      </c>
      <c r="H14" s="15">
        <f t="shared" si="2"/>
        <v>0.12696906433858418</v>
      </c>
    </row>
    <row r="15" spans="1:8" ht="30" customHeight="1">
      <c r="A15" s="8"/>
      <c r="B15" s="9" t="s">
        <v>168</v>
      </c>
      <c r="C15" s="8"/>
      <c r="D15" s="10">
        <f>SUM(D9:D14)</f>
        <v>612.5</v>
      </c>
      <c r="E15" s="8"/>
      <c r="F15" s="11">
        <f>IF(D15=0,0,G15/D15)</f>
        <v>1088209.7959183673</v>
      </c>
      <c r="G15" s="11">
        <f>SUM(G9:G14)</f>
        <v>666528500</v>
      </c>
      <c r="H15" s="16">
        <f t="shared" si="2"/>
        <v>1</v>
      </c>
    </row>
    <row r="16" spans="1:8">
      <c r="A16" s="1" t="s">
        <v>200</v>
      </c>
    </row>
    <row r="18" spans="1:7">
      <c r="A18" s="17" t="s">
        <v>201</v>
      </c>
    </row>
    <row r="19" spans="1:7">
      <c r="B19" s="18">
        <f>'CÔNG VIỆC'!H70</f>
        <v>612.5</v>
      </c>
      <c r="C19" s="5" t="s">
        <v>202</v>
      </c>
    </row>
    <row r="20" spans="1:7" ht="30" customHeight="1">
      <c r="B20" s="18">
        <f>D15-B19</f>
        <v>0</v>
      </c>
      <c r="C20" s="5" t="s">
        <v>203</v>
      </c>
    </row>
    <row r="21" spans="1:7" ht="15">
      <c r="B21" s="19">
        <f>'CÔNG VIỆC'!J70</f>
        <v>666528500</v>
      </c>
      <c r="C21" s="5" t="s">
        <v>204</v>
      </c>
    </row>
    <row r="22" spans="1:7" ht="26.25" customHeight="1">
      <c r="B22" s="19">
        <f>G15-B21</f>
        <v>0</v>
      </c>
      <c r="C22" s="5" t="s">
        <v>205</v>
      </c>
    </row>
    <row r="24" spans="1:7">
      <c r="A24" s="17" t="s">
        <v>206</v>
      </c>
    </row>
    <row r="25" spans="1:7">
      <c r="A25" s="12" t="s">
        <v>207</v>
      </c>
      <c r="C25" s="13" t="s">
        <v>208</v>
      </c>
    </row>
    <row r="26" spans="1:7">
      <c r="A26" s="12" t="s">
        <v>209</v>
      </c>
      <c r="C26" s="13" t="s">
        <v>210</v>
      </c>
    </row>
    <row r="27" spans="1:7">
      <c r="A27" s="12" t="s">
        <v>211</v>
      </c>
      <c r="C27" s="13" t="s">
        <v>212</v>
      </c>
    </row>
    <row r="29" spans="1:7">
      <c r="G29" s="1" t="s">
        <v>184</v>
      </c>
    </row>
    <row r="30" spans="1:7">
      <c r="B30" s="20" t="s">
        <v>185</v>
      </c>
      <c r="G30" s="20" t="s">
        <v>186</v>
      </c>
    </row>
    <row r="34" spans="2:7">
      <c r="B34" s="20" t="s">
        <v>187</v>
      </c>
      <c r="G34" s="20" t="s">
        <v>28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3"/>
  <sheetViews>
    <sheetView tabSelected="1" topLeftCell="A16" workbookViewId="0">
      <selection activeCell="G27" sqref="G27"/>
    </sheetView>
  </sheetViews>
  <sheetFormatPr defaultRowHeight="14.25"/>
  <cols>
    <col min="1" max="1" width="11.28515625" customWidth="1"/>
    <col min="2" max="2" width="48" customWidth="1"/>
    <col min="3" max="3" width="14" customWidth="1"/>
    <col min="4" max="4" width="14.28515625" customWidth="1"/>
    <col min="5" max="5" width="17" customWidth="1"/>
    <col min="6" max="6" width="28.85546875" customWidth="1"/>
    <col min="7" max="7" width="43.5703125" customWidth="1"/>
  </cols>
  <sheetData>
    <row r="1" spans="1:7" ht="30.75" customHeight="1">
      <c r="A1" s="37" t="s">
        <v>213</v>
      </c>
      <c r="B1" s="37"/>
      <c r="C1" s="37"/>
      <c r="D1" s="37"/>
      <c r="E1" s="37"/>
      <c r="F1" s="37"/>
      <c r="G1" s="37"/>
    </row>
    <row r="2" spans="1:7" ht="18.75" customHeight="1">
      <c r="A2" s="28"/>
      <c r="B2" s="28"/>
      <c r="C2" s="28"/>
      <c r="D2" s="28"/>
      <c r="E2" s="28"/>
      <c r="F2" s="28"/>
      <c r="G2" s="28"/>
    </row>
    <row r="3" spans="1:7" ht="15">
      <c r="A3" s="12" t="s">
        <v>152</v>
      </c>
      <c r="B3" s="12" t="s">
        <v>153</v>
      </c>
    </row>
    <row r="4" spans="1:7">
      <c r="A4" s="12" t="s">
        <v>154</v>
      </c>
      <c r="B4" s="12" t="s">
        <v>155</v>
      </c>
    </row>
    <row r="5" spans="1:7">
      <c r="A5" s="12" t="s">
        <v>156</v>
      </c>
      <c r="B5" s="12" t="s">
        <v>28</v>
      </c>
    </row>
    <row r="6" spans="1:7">
      <c r="A6" s="2" t="s">
        <v>214</v>
      </c>
    </row>
    <row r="8" spans="1:7">
      <c r="A8" s="27" t="s">
        <v>3</v>
      </c>
      <c r="B8" s="27" t="s">
        <v>215</v>
      </c>
      <c r="C8" s="27" t="s">
        <v>216</v>
      </c>
      <c r="D8" s="27" t="s">
        <v>217</v>
      </c>
      <c r="E8" s="27" t="s">
        <v>218</v>
      </c>
      <c r="F8" s="27" t="s">
        <v>219</v>
      </c>
      <c r="G8" s="27" t="s">
        <v>220</v>
      </c>
    </row>
    <row r="9" spans="1:7" ht="33" customHeight="1">
      <c r="A9" s="3" t="s">
        <v>221</v>
      </c>
      <c r="B9" s="21" t="s">
        <v>222</v>
      </c>
      <c r="C9" s="22"/>
      <c r="D9" s="22"/>
      <c r="E9" s="22"/>
      <c r="F9" s="22"/>
      <c r="G9" s="22"/>
    </row>
    <row r="10" spans="1:7" ht="33" customHeight="1">
      <c r="A10" s="4">
        <v>1</v>
      </c>
      <c r="B10" s="5" t="s">
        <v>223</v>
      </c>
      <c r="C10" s="4" t="s">
        <v>224</v>
      </c>
      <c r="D10" s="47">
        <v>1</v>
      </c>
      <c r="E10" s="7">
        <v>5000000</v>
      </c>
      <c r="F10" s="7">
        <f>D10*E10</f>
        <v>5000000</v>
      </c>
      <c r="G10" s="5" t="s">
        <v>225</v>
      </c>
    </row>
    <row r="11" spans="1:7" ht="33" customHeight="1">
      <c r="A11" s="4">
        <v>2</v>
      </c>
      <c r="B11" s="5" t="s">
        <v>226</v>
      </c>
      <c r="C11" s="4" t="s">
        <v>224</v>
      </c>
      <c r="D11" s="47">
        <v>1</v>
      </c>
      <c r="E11" s="7">
        <v>35000000</v>
      </c>
      <c r="F11" s="7">
        <f>D11*E11</f>
        <v>35000000</v>
      </c>
      <c r="G11" s="5" t="s">
        <v>227</v>
      </c>
    </row>
    <row r="12" spans="1:7" ht="33" customHeight="1">
      <c r="A12" s="4">
        <v>3</v>
      </c>
      <c r="B12" s="5" t="s">
        <v>228</v>
      </c>
      <c r="C12" s="4" t="s">
        <v>229</v>
      </c>
      <c r="D12" s="47">
        <v>4</v>
      </c>
      <c r="E12" s="7">
        <v>3500000</v>
      </c>
      <c r="F12" s="7">
        <f>D12*E12</f>
        <v>14000000</v>
      </c>
      <c r="G12" s="5" t="s">
        <v>230</v>
      </c>
    </row>
    <row r="13" spans="1:7" ht="33" customHeight="1">
      <c r="A13" s="4">
        <v>4</v>
      </c>
      <c r="B13" s="5" t="s">
        <v>231</v>
      </c>
      <c r="C13" s="4" t="s">
        <v>232</v>
      </c>
      <c r="D13" s="47">
        <v>1</v>
      </c>
      <c r="E13" s="7">
        <v>8000000</v>
      </c>
      <c r="F13" s="7">
        <f>D13*E13</f>
        <v>8000000</v>
      </c>
      <c r="G13" s="5" t="s">
        <v>233</v>
      </c>
    </row>
    <row r="14" spans="1:7" ht="33" customHeight="1">
      <c r="A14" s="4">
        <v>5</v>
      </c>
      <c r="B14" s="5" t="s">
        <v>234</v>
      </c>
      <c r="C14" s="4" t="s">
        <v>224</v>
      </c>
      <c r="D14" s="47">
        <v>1</v>
      </c>
      <c r="E14" s="7">
        <v>3000000</v>
      </c>
      <c r="F14" s="7">
        <f>D14*E14</f>
        <v>3000000</v>
      </c>
      <c r="G14" s="5" t="s">
        <v>235</v>
      </c>
    </row>
    <row r="15" spans="1:7" ht="33" customHeight="1">
      <c r="A15" s="3" t="s">
        <v>236</v>
      </c>
      <c r="B15" s="21" t="s">
        <v>237</v>
      </c>
      <c r="C15" s="22"/>
      <c r="D15" s="48"/>
      <c r="E15" s="22"/>
      <c r="F15" s="22"/>
      <c r="G15" s="22"/>
    </row>
    <row r="16" spans="1:7" ht="33" customHeight="1">
      <c r="A16" s="4">
        <v>1</v>
      </c>
      <c r="B16" s="5" t="s">
        <v>238</v>
      </c>
      <c r="C16" s="4" t="s">
        <v>224</v>
      </c>
      <c r="D16" s="47">
        <v>2</v>
      </c>
      <c r="E16" s="7">
        <v>30000000</v>
      </c>
      <c r="F16" s="7">
        <f>D16*E16</f>
        <v>60000000</v>
      </c>
      <c r="G16" s="5" t="s">
        <v>239</v>
      </c>
    </row>
    <row r="17" spans="1:7" ht="33" customHeight="1">
      <c r="A17" s="4">
        <v>2</v>
      </c>
      <c r="B17" s="5" t="s">
        <v>240</v>
      </c>
      <c r="C17" s="4" t="s">
        <v>241</v>
      </c>
      <c r="D17" s="47">
        <v>1</v>
      </c>
      <c r="E17" s="7">
        <v>20000000</v>
      </c>
      <c r="F17" s="7">
        <f>D17*E17</f>
        <v>20000000</v>
      </c>
      <c r="G17" s="5" t="s">
        <v>242</v>
      </c>
    </row>
    <row r="18" spans="1:7" ht="33" customHeight="1">
      <c r="A18" s="4">
        <v>3</v>
      </c>
      <c r="B18" s="5" t="s">
        <v>243</v>
      </c>
      <c r="C18" s="4" t="s">
        <v>244</v>
      </c>
      <c r="D18" s="47">
        <v>1</v>
      </c>
      <c r="E18" s="7">
        <v>170000000</v>
      </c>
      <c r="F18" s="7">
        <f>D18*E18</f>
        <v>170000000</v>
      </c>
      <c r="G18" s="5" t="s">
        <v>245</v>
      </c>
    </row>
    <row r="19" spans="1:7" ht="33" customHeight="1">
      <c r="A19" s="4">
        <v>4</v>
      </c>
      <c r="B19" s="5" t="s">
        <v>246</v>
      </c>
      <c r="C19" s="4" t="s">
        <v>224</v>
      </c>
      <c r="D19" s="47">
        <v>1</v>
      </c>
      <c r="E19" s="7">
        <v>5000000</v>
      </c>
      <c r="F19" s="7">
        <f>D19*E19</f>
        <v>5000000</v>
      </c>
      <c r="G19" s="5" t="s">
        <v>247</v>
      </c>
    </row>
    <row r="20" spans="1:7" ht="33" customHeight="1">
      <c r="A20" s="3" t="s">
        <v>248</v>
      </c>
      <c r="B20" s="21" t="s">
        <v>249</v>
      </c>
      <c r="C20" s="22"/>
      <c r="D20" s="48"/>
      <c r="E20" s="22"/>
      <c r="F20" s="22"/>
      <c r="G20" s="22"/>
    </row>
    <row r="21" spans="1:7" ht="33" customHeight="1">
      <c r="A21" s="4">
        <v>1</v>
      </c>
      <c r="B21" s="5" t="s">
        <v>250</v>
      </c>
      <c r="C21" s="4" t="s">
        <v>232</v>
      </c>
      <c r="D21" s="47">
        <v>2</v>
      </c>
      <c r="E21" s="7">
        <v>35000000</v>
      </c>
      <c r="F21" s="7">
        <f>D21*E21</f>
        <v>70000000</v>
      </c>
      <c r="G21" s="5" t="s">
        <v>251</v>
      </c>
    </row>
    <row r="22" spans="1:7">
      <c r="A22" s="8"/>
      <c r="B22" s="9" t="s">
        <v>168</v>
      </c>
      <c r="C22" s="8"/>
      <c r="D22" s="8"/>
      <c r="E22" s="8"/>
      <c r="F22" s="11">
        <f>SUM(F10,F11,F12,F13,F14,F16,F17,F18,F19,F21)</f>
        <v>390000000</v>
      </c>
      <c r="G22" s="23" t="s">
        <v>252</v>
      </c>
    </row>
    <row r="24" spans="1:7">
      <c r="A24" s="17" t="s">
        <v>206</v>
      </c>
    </row>
    <row r="25" spans="1:7">
      <c r="A25" s="12" t="s">
        <v>253</v>
      </c>
      <c r="C25" s="13" t="s">
        <v>254</v>
      </c>
    </row>
    <row r="26" spans="1:7">
      <c r="A26" s="12" t="s">
        <v>255</v>
      </c>
      <c r="C26" s="13" t="s">
        <v>256</v>
      </c>
    </row>
    <row r="28" spans="1:7">
      <c r="F28" s="1" t="s">
        <v>184</v>
      </c>
    </row>
    <row r="29" spans="1:7">
      <c r="B29" s="20" t="s">
        <v>185</v>
      </c>
      <c r="F29" s="20" t="s">
        <v>186</v>
      </c>
    </row>
    <row r="33" spans="2:6">
      <c r="B33" s="20" t="s">
        <v>187</v>
      </c>
      <c r="F33" s="20" t="s">
        <v>28</v>
      </c>
    </row>
  </sheetData>
  <mergeCells count="1">
    <mergeCell ref="A1:G1"/>
  </mergeCells>
  <pageMargins left="0.75" right="0.75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3"/>
  <sheetViews>
    <sheetView topLeftCell="A17" workbookViewId="0">
      <selection activeCell="C26" sqref="C26:D26"/>
    </sheetView>
  </sheetViews>
  <sheetFormatPr defaultRowHeight="14.25"/>
  <cols>
    <col min="1" max="1" width="11.42578125" customWidth="1"/>
    <col min="2" max="2" width="46" customWidth="1"/>
    <col min="3" max="3" width="52" customWidth="1"/>
    <col min="4" max="4" width="29.140625" customWidth="1"/>
    <col min="5" max="5" width="14" customWidth="1"/>
  </cols>
  <sheetData>
    <row r="1" spans="1:4" ht="33" customHeight="1">
      <c r="A1" s="37" t="s">
        <v>257</v>
      </c>
      <c r="B1" s="37"/>
      <c r="C1" s="37"/>
      <c r="D1" s="37"/>
    </row>
    <row r="2" spans="1:4" ht="15" customHeight="1">
      <c r="A2" s="28"/>
      <c r="B2" s="28"/>
      <c r="C2" s="28"/>
      <c r="D2" s="28"/>
    </row>
    <row r="3" spans="1:4" ht="15">
      <c r="A3" s="12" t="s">
        <v>152</v>
      </c>
      <c r="B3" s="12" t="s">
        <v>153</v>
      </c>
    </row>
    <row r="4" spans="1:4">
      <c r="A4" s="12" t="s">
        <v>154</v>
      </c>
      <c r="B4" s="12" t="s">
        <v>155</v>
      </c>
    </row>
    <row r="5" spans="1:4">
      <c r="A5" s="12" t="s">
        <v>156</v>
      </c>
      <c r="B5" s="12" t="s">
        <v>28</v>
      </c>
    </row>
    <row r="6" spans="1:4">
      <c r="A6" s="12" t="s">
        <v>258</v>
      </c>
      <c r="D6" s="14">
        <v>1128528500</v>
      </c>
    </row>
    <row r="8" spans="1:4">
      <c r="A8" s="27" t="s">
        <v>3</v>
      </c>
      <c r="B8" s="27" t="s">
        <v>259</v>
      </c>
      <c r="C8" s="27" t="s">
        <v>260</v>
      </c>
      <c r="D8" s="27" t="s">
        <v>261</v>
      </c>
    </row>
    <row r="9" spans="1:4">
      <c r="A9" s="3" t="s">
        <v>221</v>
      </c>
      <c r="B9" s="21" t="s">
        <v>262</v>
      </c>
      <c r="C9" s="22"/>
      <c r="D9" s="22"/>
    </row>
    <row r="10" spans="1:4" ht="26.25" customHeight="1">
      <c r="A10" s="4">
        <v>1</v>
      </c>
      <c r="B10" s="5" t="s">
        <v>263</v>
      </c>
      <c r="C10" s="5" t="s">
        <v>264</v>
      </c>
      <c r="D10" s="7">
        <v>12000000</v>
      </c>
    </row>
    <row r="11" spans="1:4">
      <c r="A11" s="3" t="s">
        <v>236</v>
      </c>
      <c r="B11" s="21" t="s">
        <v>265</v>
      </c>
      <c r="C11" s="22"/>
      <c r="D11" s="22"/>
    </row>
    <row r="12" spans="1:4" ht="26.25" customHeight="1">
      <c r="A12" s="4">
        <v>1</v>
      </c>
      <c r="B12" s="5" t="s">
        <v>266</v>
      </c>
      <c r="C12" s="5" t="s">
        <v>267</v>
      </c>
      <c r="D12" s="7">
        <v>15000000</v>
      </c>
    </row>
    <row r="13" spans="1:4" ht="26.25" customHeight="1">
      <c r="A13" s="4">
        <v>2</v>
      </c>
      <c r="B13" s="5" t="s">
        <v>268</v>
      </c>
      <c r="C13" s="5" t="s">
        <v>269</v>
      </c>
      <c r="D13" s="7">
        <v>8000000</v>
      </c>
    </row>
    <row r="14" spans="1:4">
      <c r="A14" s="3" t="s">
        <v>248</v>
      </c>
      <c r="B14" s="21" t="s">
        <v>270</v>
      </c>
      <c r="C14" s="22"/>
      <c r="D14" s="22"/>
    </row>
    <row r="15" spans="1:4" ht="26.25" customHeight="1">
      <c r="A15" s="4">
        <v>1</v>
      </c>
      <c r="B15" s="5" t="s">
        <v>271</v>
      </c>
      <c r="C15" s="5" t="s">
        <v>272</v>
      </c>
      <c r="D15" s="7">
        <v>18000000</v>
      </c>
    </row>
    <row r="16" spans="1:4">
      <c r="A16" s="3" t="s">
        <v>273</v>
      </c>
      <c r="B16" s="21" t="s">
        <v>274</v>
      </c>
      <c r="C16" s="22"/>
      <c r="D16" s="22"/>
    </row>
    <row r="17" spans="1:5" ht="26.25" customHeight="1">
      <c r="A17" s="4">
        <v>1</v>
      </c>
      <c r="B17" s="5" t="s">
        <v>275</v>
      </c>
      <c r="C17" s="5" t="s">
        <v>276</v>
      </c>
      <c r="D17" s="7">
        <v>6000000</v>
      </c>
    </row>
    <row r="18" spans="1:5">
      <c r="A18" s="3" t="s">
        <v>277</v>
      </c>
      <c r="B18" s="21" t="s">
        <v>278</v>
      </c>
      <c r="C18" s="22"/>
      <c r="D18" s="22"/>
    </row>
    <row r="19" spans="1:5" ht="26.25" customHeight="1">
      <c r="A19" s="4">
        <v>1</v>
      </c>
      <c r="B19" s="5" t="s">
        <v>279</v>
      </c>
      <c r="C19" s="5" t="s">
        <v>280</v>
      </c>
      <c r="D19" s="7">
        <v>3000000</v>
      </c>
    </row>
    <row r="20" spans="1:5" ht="25.5" customHeight="1">
      <c r="A20" s="3">
        <v>2</v>
      </c>
      <c r="B20" s="21" t="s">
        <v>281</v>
      </c>
      <c r="C20" s="21" t="s">
        <v>282</v>
      </c>
      <c r="D20" s="19">
        <f>$D$6-'CÔNG LAO ĐỘNG'!$G$15-'THIẾT BỊ VẬT TỰ'!$F$22-(D10+D12+D13+D15+D17+D19)</f>
        <v>10000000</v>
      </c>
    </row>
    <row r="21" spans="1:5">
      <c r="A21" s="8"/>
      <c r="B21" s="9" t="s">
        <v>168</v>
      </c>
      <c r="C21" s="8"/>
      <c r="D21" s="11">
        <f>SUM(D10,D12,D13,D15,D17,D19,D20)</f>
        <v>72000000</v>
      </c>
    </row>
    <row r="22" spans="1:5">
      <c r="A22" s="1" t="s">
        <v>283</v>
      </c>
    </row>
    <row r="24" spans="1:5" ht="15">
      <c r="A24" s="17" t="s">
        <v>206</v>
      </c>
    </row>
    <row r="25" spans="1:5" ht="38.25" customHeight="1">
      <c r="A25" s="42" t="s">
        <v>253</v>
      </c>
      <c r="C25" s="44" t="s">
        <v>284</v>
      </c>
      <c r="D25" s="44"/>
    </row>
    <row r="26" spans="1:5" ht="38.25" customHeight="1">
      <c r="A26" s="42" t="s">
        <v>285</v>
      </c>
      <c r="C26" s="44" t="s">
        <v>286</v>
      </c>
      <c r="D26" s="44"/>
    </row>
    <row r="27" spans="1:5" ht="15"/>
    <row r="28" spans="1:5" ht="14.25" customHeight="1">
      <c r="D28" s="45" t="s">
        <v>184</v>
      </c>
      <c r="E28" s="46"/>
    </row>
    <row r="29" spans="1:5" ht="15">
      <c r="B29" s="20" t="s">
        <v>185</v>
      </c>
      <c r="D29" s="20" t="s">
        <v>186</v>
      </c>
    </row>
    <row r="30" spans="1:5">
      <c r="D30" s="43"/>
    </row>
    <row r="31" spans="1:5">
      <c r="D31" s="43"/>
    </row>
    <row r="32" spans="1:5">
      <c r="D32" s="43"/>
    </row>
    <row r="33" spans="2:4" ht="15">
      <c r="B33" s="20" t="s">
        <v>187</v>
      </c>
      <c r="D33" s="20" t="s">
        <v>28</v>
      </c>
    </row>
  </sheetData>
  <mergeCells count="3">
    <mergeCell ref="A1:D1"/>
    <mergeCell ref="C25:D25"/>
    <mergeCell ref="C26:D26"/>
  </mergeCells>
  <pageMargins left="0.25" right="0.25" top="0.75" bottom="0.75" header="0.3" footer="0.3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53"/>
  <sheetViews>
    <sheetView workbookViewId="0">
      <selection activeCell="G5" sqref="G5"/>
    </sheetView>
  </sheetViews>
  <sheetFormatPr defaultRowHeight="14.25"/>
  <cols>
    <col min="1" max="1" width="21.85546875" customWidth="1"/>
    <col min="2" max="2" width="24" customWidth="1"/>
    <col min="3" max="3" width="26" customWidth="1"/>
    <col min="4" max="4" width="14" customWidth="1"/>
    <col min="5" max="5" width="42" customWidth="1"/>
    <col min="6" max="6" width="12" customWidth="1"/>
    <col min="7" max="7" width="17" customWidth="1"/>
    <col min="8" max="8" width="15" customWidth="1"/>
    <col min="9" max="9" width="17" customWidth="1"/>
    <col min="10" max="10" width="24" customWidth="1"/>
  </cols>
  <sheetData>
    <row r="1" spans="1:10" ht="36.75" customHeight="1">
      <c r="A1" s="37" t="s">
        <v>287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6.5" customHeight="1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 ht="15">
      <c r="A3" s="12" t="s">
        <v>152</v>
      </c>
      <c r="B3" s="12" t="s">
        <v>153</v>
      </c>
    </row>
    <row r="4" spans="1:10">
      <c r="A4" s="12" t="s">
        <v>154</v>
      </c>
      <c r="B4" s="12" t="s">
        <v>155</v>
      </c>
    </row>
    <row r="5" spans="1:10">
      <c r="A5" s="12" t="s">
        <v>156</v>
      </c>
      <c r="B5" s="12" t="s">
        <v>28</v>
      </c>
    </row>
    <row r="6" spans="1:10">
      <c r="A6" s="12" t="s">
        <v>288</v>
      </c>
      <c r="D6" s="14">
        <f>'CHI PHÍ KHÁC'!$D$6</f>
        <v>1128528500</v>
      </c>
      <c r="E6" s="2"/>
    </row>
    <row r="7" spans="1:10">
      <c r="A7" s="13" t="s">
        <v>289</v>
      </c>
      <c r="D7" s="24">
        <v>7</v>
      </c>
      <c r="E7" s="2"/>
    </row>
    <row r="9" spans="1:10">
      <c r="A9" s="17" t="s">
        <v>290</v>
      </c>
    </row>
    <row r="10" spans="1:10" ht="25.5" customHeight="1">
      <c r="A10" s="27" t="s">
        <v>3</v>
      </c>
      <c r="B10" s="27" t="s">
        <v>291</v>
      </c>
      <c r="C10" s="27" t="s">
        <v>292</v>
      </c>
      <c r="D10" s="27" t="s">
        <v>293</v>
      </c>
      <c r="E10" s="27" t="s">
        <v>294</v>
      </c>
      <c r="F10" s="27" t="s">
        <v>295</v>
      </c>
      <c r="G10" s="27" t="s">
        <v>160</v>
      </c>
      <c r="H10" s="27" t="s">
        <v>296</v>
      </c>
      <c r="I10" s="27" t="s">
        <v>297</v>
      </c>
      <c r="J10" s="27" t="s">
        <v>298</v>
      </c>
    </row>
    <row r="11" spans="1:10" ht="39.4" customHeight="1">
      <c r="A11" s="4">
        <v>1</v>
      </c>
      <c r="B11" s="5" t="s">
        <v>299</v>
      </c>
      <c r="C11" s="5" t="s">
        <v>300</v>
      </c>
      <c r="D11" s="25">
        <v>46276</v>
      </c>
      <c r="E11" s="5" t="s">
        <v>301</v>
      </c>
      <c r="F11" s="15">
        <v>0.2</v>
      </c>
      <c r="G11" s="7">
        <f t="shared" ref="G11:G16" si="0">ROUND($D$6*F11,0)</f>
        <v>225705700</v>
      </c>
      <c r="H11" s="25">
        <f t="shared" ref="H11:H16" si="1">WORKDAY(D11,$D$7)</f>
        <v>46287</v>
      </c>
      <c r="I11" s="7">
        <f>SUM($G$11:G11)</f>
        <v>225705700</v>
      </c>
      <c r="J11" s="5" t="s">
        <v>302</v>
      </c>
    </row>
    <row r="12" spans="1:10" ht="39.4" customHeight="1">
      <c r="A12" s="4">
        <v>2</v>
      </c>
      <c r="B12" s="5" t="s">
        <v>303</v>
      </c>
      <c r="C12" s="5" t="s">
        <v>304</v>
      </c>
      <c r="D12" s="25">
        <v>46304</v>
      </c>
      <c r="E12" s="5" t="s">
        <v>305</v>
      </c>
      <c r="F12" s="15">
        <v>0.15</v>
      </c>
      <c r="G12" s="7">
        <f t="shared" si="0"/>
        <v>169279275</v>
      </c>
      <c r="H12" s="25">
        <f t="shared" si="1"/>
        <v>46315</v>
      </c>
      <c r="I12" s="7">
        <f>SUM($G$11:G12)</f>
        <v>394984975</v>
      </c>
      <c r="J12" s="5" t="s">
        <v>306</v>
      </c>
    </row>
    <row r="13" spans="1:10" ht="39.4" customHeight="1">
      <c r="A13" s="4">
        <v>3</v>
      </c>
      <c r="B13" s="5" t="s">
        <v>307</v>
      </c>
      <c r="C13" s="5" t="s">
        <v>308</v>
      </c>
      <c r="D13" s="25">
        <v>46332</v>
      </c>
      <c r="E13" s="5" t="s">
        <v>309</v>
      </c>
      <c r="F13" s="15">
        <v>0.15</v>
      </c>
      <c r="G13" s="7">
        <f t="shared" si="0"/>
        <v>169279275</v>
      </c>
      <c r="H13" s="25">
        <f t="shared" si="1"/>
        <v>46343</v>
      </c>
      <c r="I13" s="7">
        <f>SUM($G$11:G13)</f>
        <v>564264250</v>
      </c>
      <c r="J13" s="5" t="s">
        <v>310</v>
      </c>
    </row>
    <row r="14" spans="1:10" ht="39.4" customHeight="1">
      <c r="A14" s="4">
        <v>4</v>
      </c>
      <c r="B14" s="5" t="s">
        <v>311</v>
      </c>
      <c r="C14" s="5" t="s">
        <v>312</v>
      </c>
      <c r="D14" s="25">
        <v>46367</v>
      </c>
      <c r="E14" s="5" t="s">
        <v>313</v>
      </c>
      <c r="F14" s="15">
        <v>0.25</v>
      </c>
      <c r="G14" s="7">
        <f t="shared" si="0"/>
        <v>282132125</v>
      </c>
      <c r="H14" s="25">
        <f t="shared" si="1"/>
        <v>46378</v>
      </c>
      <c r="I14" s="7">
        <f>SUM($G$11:G14)</f>
        <v>846396375</v>
      </c>
      <c r="J14" s="5" t="s">
        <v>314</v>
      </c>
    </row>
    <row r="15" spans="1:10" ht="39.4" customHeight="1">
      <c r="A15" s="4">
        <v>5</v>
      </c>
      <c r="B15" s="5" t="s">
        <v>315</v>
      </c>
      <c r="C15" s="5" t="s">
        <v>316</v>
      </c>
      <c r="D15" s="25">
        <v>46409</v>
      </c>
      <c r="E15" s="5" t="s">
        <v>317</v>
      </c>
      <c r="F15" s="15">
        <v>0.2</v>
      </c>
      <c r="G15" s="7">
        <f t="shared" si="0"/>
        <v>225705700</v>
      </c>
      <c r="H15" s="25">
        <f t="shared" si="1"/>
        <v>46420</v>
      </c>
      <c r="I15" s="7">
        <f>SUM($G$11:G15)</f>
        <v>1072102075</v>
      </c>
      <c r="J15" s="5" t="s">
        <v>318</v>
      </c>
    </row>
    <row r="16" spans="1:10" ht="39.4" customHeight="1">
      <c r="A16" s="4">
        <v>6</v>
      </c>
      <c r="B16" s="5" t="s">
        <v>319</v>
      </c>
      <c r="C16" s="5" t="s">
        <v>320</v>
      </c>
      <c r="D16" s="25">
        <v>46444</v>
      </c>
      <c r="E16" s="5" t="s">
        <v>321</v>
      </c>
      <c r="F16" s="15">
        <v>0.05</v>
      </c>
      <c r="G16" s="7">
        <f t="shared" si="0"/>
        <v>56426425</v>
      </c>
      <c r="H16" s="25">
        <f t="shared" si="1"/>
        <v>46455</v>
      </c>
      <c r="I16" s="7">
        <f>SUM($G$11:G16)</f>
        <v>1128528500</v>
      </c>
      <c r="J16" s="5" t="s">
        <v>322</v>
      </c>
    </row>
    <row r="17" spans="1:10">
      <c r="A17" s="8"/>
      <c r="B17" s="9" t="s">
        <v>168</v>
      </c>
      <c r="C17" s="8"/>
      <c r="D17" s="8"/>
      <c r="E17" s="8"/>
      <c r="F17" s="16">
        <f>SUM(F11:F16)</f>
        <v>1</v>
      </c>
      <c r="G17" s="11">
        <f>SUM(G11:G16)</f>
        <v>1128528500</v>
      </c>
      <c r="H17" s="8"/>
      <c r="I17" s="8"/>
      <c r="J17" s="9" t="str">
        <f>IF(ROUND(F17,6)=1,"Đủ 100% giá trị hợp đồng","Tổng tỷ lệ phải bằng 100%")</f>
        <v>Đủ 100% giá trị hợp đồng</v>
      </c>
    </row>
    <row r="19" spans="1:10">
      <c r="A19" s="17" t="s">
        <v>323</v>
      </c>
    </row>
    <row r="20" spans="1:10" ht="38.25" customHeight="1">
      <c r="A20" s="27" t="s">
        <v>324</v>
      </c>
      <c r="B20" s="27" t="s">
        <v>325</v>
      </c>
      <c r="C20" s="27" t="s">
        <v>326</v>
      </c>
      <c r="D20" s="27" t="s">
        <v>327</v>
      </c>
      <c r="E20" s="27" t="s">
        <v>328</v>
      </c>
      <c r="F20" s="27" t="s">
        <v>329</v>
      </c>
      <c r="G20" s="27" t="s">
        <v>330</v>
      </c>
      <c r="H20" s="27" t="s">
        <v>331</v>
      </c>
      <c r="I20" s="27" t="s">
        <v>297</v>
      </c>
      <c r="J20" s="27" t="s">
        <v>332</v>
      </c>
    </row>
    <row r="21" spans="1:10">
      <c r="A21" s="4" t="s">
        <v>333</v>
      </c>
      <c r="B21" s="25">
        <f>EOMONTH(DATE(2026,9,1),0)</f>
        <v>46295</v>
      </c>
      <c r="C21" s="7">
        <v>55000000</v>
      </c>
      <c r="D21" s="7">
        <v>19000000</v>
      </c>
      <c r="E21" s="7">
        <v>5000000</v>
      </c>
      <c r="F21" s="7">
        <f t="shared" ref="F21:F27" si="2">SUM(C21:E21)</f>
        <v>79000000</v>
      </c>
      <c r="G21" s="7">
        <f>SUM($F$21:F21)</f>
        <v>79000000</v>
      </c>
      <c r="H21" s="7">
        <f t="shared" ref="H21:H27" si="3">SUMIFS($G$11:$G$16,$H$11:$H$16,"&gt;"&amp;EOMONTH(B21,-1),$H$11:$H$16,"&lt;="&amp;B21)</f>
        <v>225705700</v>
      </c>
      <c r="I21" s="7">
        <f>SUM($H$21:H21)</f>
        <v>225705700</v>
      </c>
      <c r="J21" s="7">
        <f t="shared" ref="J21:J27" si="4">I21-G21</f>
        <v>146705700</v>
      </c>
    </row>
    <row r="22" spans="1:10">
      <c r="A22" s="4" t="s">
        <v>334</v>
      </c>
      <c r="B22" s="25">
        <f t="shared" ref="B22:B27" si="5">EOMONTH(B21,1)</f>
        <v>46326</v>
      </c>
      <c r="C22" s="7">
        <v>85000000</v>
      </c>
      <c r="D22" s="7">
        <v>46000000</v>
      </c>
      <c r="E22" s="7">
        <v>17000000</v>
      </c>
      <c r="F22" s="7">
        <f t="shared" si="2"/>
        <v>148000000</v>
      </c>
      <c r="G22" s="7">
        <f>SUM($F$21:F22)</f>
        <v>227000000</v>
      </c>
      <c r="H22" s="7">
        <f t="shared" si="3"/>
        <v>169279275</v>
      </c>
      <c r="I22" s="7">
        <f>SUM($H$21:H22)</f>
        <v>394984975</v>
      </c>
      <c r="J22" s="7">
        <f t="shared" si="4"/>
        <v>167984975</v>
      </c>
    </row>
    <row r="23" spans="1:10">
      <c r="A23" s="4" t="s">
        <v>335</v>
      </c>
      <c r="B23" s="25">
        <f t="shared" si="5"/>
        <v>46356</v>
      </c>
      <c r="C23" s="7">
        <v>95000000</v>
      </c>
      <c r="D23" s="7">
        <v>40000000</v>
      </c>
      <c r="E23" s="7">
        <v>4000000</v>
      </c>
      <c r="F23" s="7">
        <f t="shared" si="2"/>
        <v>139000000</v>
      </c>
      <c r="G23" s="7">
        <f>SUM($F$21:F23)</f>
        <v>366000000</v>
      </c>
      <c r="H23" s="7">
        <f t="shared" si="3"/>
        <v>169279275</v>
      </c>
      <c r="I23" s="7">
        <f>SUM($H$21:H23)</f>
        <v>564264250</v>
      </c>
      <c r="J23" s="7">
        <f t="shared" si="4"/>
        <v>198264250</v>
      </c>
    </row>
    <row r="24" spans="1:10">
      <c r="A24" s="4" t="s">
        <v>336</v>
      </c>
      <c r="B24" s="25">
        <f t="shared" si="5"/>
        <v>46387</v>
      </c>
      <c r="C24" s="7">
        <v>140000000</v>
      </c>
      <c r="D24" s="7">
        <v>135000000</v>
      </c>
      <c r="E24" s="7">
        <v>6000000</v>
      </c>
      <c r="F24" s="7">
        <f t="shared" si="2"/>
        <v>281000000</v>
      </c>
      <c r="G24" s="7">
        <f>SUM($F$21:F24)</f>
        <v>647000000</v>
      </c>
      <c r="H24" s="7">
        <f t="shared" si="3"/>
        <v>282132125</v>
      </c>
      <c r="I24" s="7">
        <f>SUM($H$21:H24)</f>
        <v>846396375</v>
      </c>
      <c r="J24" s="7">
        <f t="shared" si="4"/>
        <v>199396375</v>
      </c>
    </row>
    <row r="25" spans="1:10">
      <c r="A25" s="4" t="s">
        <v>337</v>
      </c>
      <c r="B25" s="25">
        <f t="shared" si="5"/>
        <v>46418</v>
      </c>
      <c r="C25" s="7">
        <v>120000000</v>
      </c>
      <c r="D25" s="7">
        <v>40000000</v>
      </c>
      <c r="E25" s="7">
        <v>4000000</v>
      </c>
      <c r="F25" s="7">
        <f t="shared" si="2"/>
        <v>164000000</v>
      </c>
      <c r="G25" s="7">
        <f>SUM($F$21:F25)</f>
        <v>811000000</v>
      </c>
      <c r="H25" s="7">
        <f t="shared" si="3"/>
        <v>0</v>
      </c>
      <c r="I25" s="7">
        <f>SUM($H$21:H25)</f>
        <v>846396375</v>
      </c>
      <c r="J25" s="7">
        <f t="shared" si="4"/>
        <v>35396375</v>
      </c>
    </row>
    <row r="26" spans="1:10">
      <c r="A26" s="4" t="s">
        <v>338</v>
      </c>
      <c r="B26" s="25">
        <f t="shared" si="5"/>
        <v>46446</v>
      </c>
      <c r="C26" s="7">
        <v>110000000</v>
      </c>
      <c r="D26" s="7">
        <v>70000000</v>
      </c>
      <c r="E26" s="7">
        <v>22000000</v>
      </c>
      <c r="F26" s="7">
        <f t="shared" si="2"/>
        <v>202000000</v>
      </c>
      <c r="G26" s="7">
        <f>SUM($F$21:F26)</f>
        <v>1013000000</v>
      </c>
      <c r="H26" s="7">
        <f t="shared" si="3"/>
        <v>225705700</v>
      </c>
      <c r="I26" s="7">
        <f>SUM($H$21:H26)</f>
        <v>1072102075</v>
      </c>
      <c r="J26" s="7">
        <f t="shared" si="4"/>
        <v>59102075</v>
      </c>
    </row>
    <row r="27" spans="1:10">
      <c r="A27" s="4" t="s">
        <v>339</v>
      </c>
      <c r="B27" s="25">
        <f t="shared" si="5"/>
        <v>46477</v>
      </c>
      <c r="C27" s="7">
        <v>61528500</v>
      </c>
      <c r="D27" s="7">
        <v>40000000</v>
      </c>
      <c r="E27" s="7">
        <v>4000000</v>
      </c>
      <c r="F27" s="7">
        <f t="shared" si="2"/>
        <v>105528500</v>
      </c>
      <c r="G27" s="7">
        <f>SUM($F$21:F27)</f>
        <v>1118528500</v>
      </c>
      <c r="H27" s="7">
        <f t="shared" si="3"/>
        <v>56426425</v>
      </c>
      <c r="I27" s="7">
        <f>SUM($H$21:H27)</f>
        <v>1128528500</v>
      </c>
      <c r="J27" s="7">
        <f t="shared" si="4"/>
        <v>10000000</v>
      </c>
    </row>
    <row r="28" spans="1:10">
      <c r="A28" s="26" t="s">
        <v>168</v>
      </c>
      <c r="B28" s="8"/>
      <c r="C28" s="11">
        <f>SUM(C21:C27)</f>
        <v>666528500</v>
      </c>
      <c r="D28" s="11">
        <f>SUM(D21:D27)</f>
        <v>390000000</v>
      </c>
      <c r="E28" s="11">
        <f>SUM(E21:E27)</f>
        <v>62000000</v>
      </c>
      <c r="F28" s="11">
        <f>SUM(F21:F27)</f>
        <v>1118528500</v>
      </c>
      <c r="G28" s="11">
        <f>G27</f>
        <v>1118528500</v>
      </c>
      <c r="H28" s="11">
        <f>SUM(H21:H27)</f>
        <v>1128528500</v>
      </c>
      <c r="I28" s="11">
        <f>I27</f>
        <v>1128528500</v>
      </c>
      <c r="J28" s="11">
        <f>J27</f>
        <v>10000000</v>
      </c>
    </row>
    <row r="30" spans="1:10" ht="15">
      <c r="A30" s="17" t="s">
        <v>340</v>
      </c>
    </row>
    <row r="31" spans="1:10" ht="25.5" customHeight="1">
      <c r="A31" s="27" t="s">
        <v>3</v>
      </c>
      <c r="B31" s="36" t="s">
        <v>341</v>
      </c>
      <c r="C31" s="36"/>
      <c r="D31" s="36"/>
      <c r="E31" s="27" t="s">
        <v>172</v>
      </c>
      <c r="F31" s="38" t="s">
        <v>342</v>
      </c>
      <c r="G31" s="38"/>
    </row>
    <row r="32" spans="1:10" ht="51" customHeight="1">
      <c r="A32" s="4">
        <v>1</v>
      </c>
      <c r="B32" s="34" t="s">
        <v>343</v>
      </c>
      <c r="C32" s="34"/>
      <c r="D32" s="34"/>
      <c r="E32" s="31">
        <f>C28-'CÔNG LAO ĐỘNG'!$G$15</f>
        <v>0</v>
      </c>
      <c r="F32" s="34" t="s">
        <v>344</v>
      </c>
      <c r="G32" s="34"/>
    </row>
    <row r="33" spans="1:7" ht="51" customHeight="1">
      <c r="A33" s="4">
        <v>2</v>
      </c>
      <c r="B33" s="34" t="s">
        <v>345</v>
      </c>
      <c r="C33" s="34"/>
      <c r="D33" s="34"/>
      <c r="E33" s="31">
        <f>D28-'THIẾT BỊ VẬT TỰ'!$F$22</f>
        <v>0</v>
      </c>
      <c r="F33" s="34" t="s">
        <v>346</v>
      </c>
      <c r="G33" s="34"/>
    </row>
    <row r="34" spans="1:7" ht="51" customHeight="1">
      <c r="A34" s="4">
        <v>3</v>
      </c>
      <c r="B34" s="34" t="s">
        <v>347</v>
      </c>
      <c r="C34" s="34"/>
      <c r="D34" s="34"/>
      <c r="E34" s="31">
        <f>E28-('CHI PHÍ KHÁC'!$D$21-'CHI PHÍ KHÁC'!$D$20)</f>
        <v>0</v>
      </c>
      <c r="F34" s="34" t="s">
        <v>348</v>
      </c>
      <c r="G34" s="34"/>
    </row>
    <row r="35" spans="1:7" ht="51" customHeight="1">
      <c r="A35" s="4">
        <v>4</v>
      </c>
      <c r="B35" s="34" t="s">
        <v>349</v>
      </c>
      <c r="C35" s="34"/>
      <c r="D35" s="34"/>
      <c r="E35" s="31">
        <f>H28-$D$6</f>
        <v>0</v>
      </c>
      <c r="F35" s="34" t="s">
        <v>350</v>
      </c>
      <c r="G35" s="34"/>
    </row>
    <row r="36" spans="1:7" ht="51" customHeight="1">
      <c r="A36" s="4">
        <v>5</v>
      </c>
      <c r="B36" s="34" t="s">
        <v>351</v>
      </c>
      <c r="C36" s="34"/>
      <c r="D36" s="34"/>
      <c r="E36" s="31">
        <f>J27-'CHI PHÍ KHÁC'!$D$20</f>
        <v>0</v>
      </c>
      <c r="F36" s="34" t="s">
        <v>352</v>
      </c>
      <c r="G36" s="34"/>
    </row>
    <row r="37" spans="1:7" ht="63.75" customHeight="1">
      <c r="A37" s="4">
        <v>6</v>
      </c>
      <c r="B37" s="34" t="s">
        <v>353</v>
      </c>
      <c r="C37" s="34"/>
      <c r="D37" s="34"/>
      <c r="E37" s="32">
        <f>COUNTIF(J21:J27,"&lt;0")</f>
        <v>0</v>
      </c>
      <c r="F37" s="34" t="s">
        <v>354</v>
      </c>
      <c r="G37" s="34"/>
    </row>
    <row r="38" spans="1:7" ht="52.5" customHeight="1">
      <c r="A38" s="3">
        <v>7</v>
      </c>
      <c r="B38" s="35" t="s">
        <v>355</v>
      </c>
      <c r="C38" s="35"/>
      <c r="D38" s="35"/>
      <c r="E38" s="33">
        <f>MIN(J21:J27)</f>
        <v>10000000</v>
      </c>
      <c r="F38" s="34" t="s">
        <v>356</v>
      </c>
      <c r="G38" s="34"/>
    </row>
    <row r="39" spans="1:7" ht="15"/>
    <row r="40" spans="1:7">
      <c r="A40" s="17" t="s">
        <v>206</v>
      </c>
    </row>
    <row r="41" spans="1:7">
      <c r="A41" s="12" t="s">
        <v>357</v>
      </c>
      <c r="B41" s="13" t="s">
        <v>358</v>
      </c>
    </row>
    <row r="42" spans="1:7">
      <c r="A42" s="12" t="s">
        <v>359</v>
      </c>
      <c r="B42" s="13" t="s">
        <v>360</v>
      </c>
    </row>
    <row r="43" spans="1:7">
      <c r="A43" s="12" t="s">
        <v>361</v>
      </c>
      <c r="B43" s="13" t="s">
        <v>362</v>
      </c>
    </row>
    <row r="44" spans="1:7">
      <c r="A44" s="12" t="s">
        <v>363</v>
      </c>
      <c r="B44" s="13" t="s">
        <v>364</v>
      </c>
    </row>
    <row r="45" spans="1:7">
      <c r="A45" s="12" t="s">
        <v>365</v>
      </c>
      <c r="B45" s="13" t="s">
        <v>366</v>
      </c>
    </row>
    <row r="46" spans="1:7">
      <c r="A46" s="12" t="s">
        <v>367</v>
      </c>
      <c r="B46" s="13" t="s">
        <v>368</v>
      </c>
    </row>
    <row r="48" spans="1:7">
      <c r="G48" s="1" t="s">
        <v>184</v>
      </c>
    </row>
    <row r="49" spans="2:7" ht="25.5" customHeight="1">
      <c r="B49" s="20" t="s">
        <v>185</v>
      </c>
      <c r="G49" s="20" t="s">
        <v>186</v>
      </c>
    </row>
    <row r="53" spans="2:7">
      <c r="B53" s="20" t="s">
        <v>187</v>
      </c>
      <c r="G53" s="20" t="s">
        <v>28</v>
      </c>
    </row>
  </sheetData>
  <mergeCells count="17">
    <mergeCell ref="F34:G34"/>
    <mergeCell ref="F35:G35"/>
    <mergeCell ref="B37:D37"/>
    <mergeCell ref="B38:D38"/>
    <mergeCell ref="B31:D31"/>
    <mergeCell ref="A1:J1"/>
    <mergeCell ref="B32:D32"/>
    <mergeCell ref="B33:D33"/>
    <mergeCell ref="B34:D34"/>
    <mergeCell ref="B35:D35"/>
    <mergeCell ref="B36:D36"/>
    <mergeCell ref="F36:G36"/>
    <mergeCell ref="F37:G37"/>
    <mergeCell ref="F38:G38"/>
    <mergeCell ref="F31:G31"/>
    <mergeCell ref="F32:G32"/>
    <mergeCell ref="F33:G33"/>
  </mergeCells>
  <pageMargins left="0.25" right="0.25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D2A08-45F7-49B8-B0E7-03692E494CEA}"/>
</file>

<file path=customXml/itemProps2.xml><?xml version="1.0" encoding="utf-8"?>
<ds:datastoreItem xmlns:ds="http://schemas.openxmlformats.org/officeDocument/2006/customXml" ds:itemID="{3BD5BC53-495C-4F46-89E3-8C3A44A2BEEF}"/>
</file>

<file path=customXml/itemProps3.xml><?xml version="1.0" encoding="utf-8"?>
<ds:datastoreItem xmlns:ds="http://schemas.openxmlformats.org/officeDocument/2006/customXml" ds:itemID="{19A1C7C2-D7B7-4780-ABB5-5616B8D53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Tran Tien Thanh 20239253</cp:lastModifiedBy>
  <cp:revision/>
  <dcterms:created xsi:type="dcterms:W3CDTF">2026-09-19T03:12:50Z</dcterms:created>
  <dcterms:modified xsi:type="dcterms:W3CDTF">2026-09-19T06:14:12Z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0x01010007BB4CB8C644074DA8C0D9544B46C45A</vt:lpwstr>
  </property>
</Properties>
</file>