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610" tabRatio="500" activeTab="4"/>
  </bookViews>
  <sheets>
    <sheet name="Tổng hợp dự toán" sheetId="1" r:id="rId1"/>
    <sheet name="Khoản 1a - Nhân sự" sheetId="2" r:id="rId2"/>
    <sheet name="Khoản 1b - NVL thiết bị" sheetId="3" r:id="rId3"/>
    <sheet name="Khoản 2 - Chi khác" sheetId="4" r:id="rId4"/>
    <sheet name="Phân bổ công việc" sheetId="5" r:id="rId5"/>
  </sheets>
  <calcPr calcId="162913" iterateDelta="1E-4"/>
</workbook>
</file>

<file path=xl/calcChain.xml><?xml version="1.0" encoding="utf-8"?>
<calcChain xmlns="http://schemas.openxmlformats.org/spreadsheetml/2006/main">
  <c r="H104" i="5" l="1"/>
  <c r="E104" i="5"/>
  <c r="G102" i="5"/>
  <c r="G101" i="5"/>
  <c r="G100" i="5"/>
  <c r="G99" i="5"/>
  <c r="G97" i="5"/>
  <c r="G96" i="5"/>
  <c r="G95" i="5"/>
  <c r="G94" i="5"/>
  <c r="G91" i="5"/>
  <c r="G90" i="5"/>
  <c r="G89" i="5"/>
  <c r="G88" i="5"/>
  <c r="G87" i="5"/>
  <c r="G86" i="5"/>
  <c r="G85" i="5"/>
  <c r="G84" i="5"/>
  <c r="G82" i="5"/>
  <c r="G81" i="5"/>
  <c r="G80" i="5"/>
  <c r="G79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3" i="5"/>
  <c r="G62" i="5"/>
  <c r="G61" i="5"/>
  <c r="G60" i="5"/>
  <c r="G59" i="5"/>
  <c r="G58" i="5"/>
  <c r="G57" i="5"/>
  <c r="G56" i="5"/>
  <c r="G55" i="5"/>
  <c r="G54" i="5"/>
  <c r="G53" i="5"/>
  <c r="G52" i="5"/>
  <c r="G50" i="5"/>
  <c r="G49" i="5"/>
  <c r="G48" i="5"/>
  <c r="G47" i="5"/>
  <c r="G46" i="5"/>
  <c r="G45" i="5"/>
  <c r="G44" i="5"/>
  <c r="G43" i="5"/>
  <c r="G42" i="5"/>
  <c r="G41" i="5"/>
  <c r="G40" i="5"/>
  <c r="G39" i="5"/>
  <c r="G37" i="5"/>
  <c r="G36" i="5"/>
  <c r="G35" i="5"/>
  <c r="G34" i="5"/>
  <c r="G33" i="5"/>
  <c r="G32" i="5"/>
  <c r="G31" i="5"/>
  <c r="G30" i="5"/>
  <c r="G29" i="5"/>
  <c r="G28" i="5"/>
  <c r="G26" i="5"/>
  <c r="G25" i="5"/>
  <c r="G24" i="5"/>
  <c r="G23" i="5"/>
  <c r="G22" i="5"/>
  <c r="G21" i="5"/>
  <c r="G20" i="5"/>
  <c r="G19" i="5"/>
  <c r="G17" i="5"/>
  <c r="G16" i="5"/>
  <c r="G15" i="5"/>
  <c r="G13" i="5"/>
  <c r="G12" i="5"/>
  <c r="G10" i="5"/>
  <c r="G9" i="5"/>
  <c r="G8" i="5"/>
  <c r="G7" i="5"/>
  <c r="G6" i="5"/>
  <c r="G5" i="5"/>
  <c r="G104" i="5" s="1"/>
  <c r="E17" i="4"/>
  <c r="E11" i="4"/>
  <c r="E7" i="4"/>
  <c r="E18" i="4" s="1"/>
  <c r="E18" i="2"/>
  <c r="G17" i="2"/>
  <c r="G16" i="2"/>
  <c r="G15" i="2"/>
  <c r="G18" i="2" s="1"/>
  <c r="G11" i="2"/>
  <c r="G19" i="2" s="1"/>
  <c r="E11" i="2"/>
  <c r="E19" i="2" s="1"/>
  <c r="G10" i="2"/>
  <c r="G9" i="2"/>
  <c r="G8" i="2"/>
  <c r="G7" i="2"/>
  <c r="G6" i="2"/>
  <c r="G5" i="2"/>
  <c r="D14" i="1"/>
  <c r="D16" i="1" s="1"/>
  <c r="E14" i="1" s="1"/>
  <c r="E9" i="1"/>
  <c r="E8" i="1"/>
</calcChain>
</file>

<file path=xl/sharedStrings.xml><?xml version="1.0" encoding="utf-8"?>
<sst xmlns="http://schemas.openxmlformats.org/spreadsheetml/2006/main" count="584" uniqueCount="435">
  <si>
    <t>TỔNG HỢP DỰ TOÁN KINH PHÍ</t>
  </si>
  <si>
    <t>Dự án: Quản lý Cửa hàng Thiết bị Máy tính</t>
  </si>
  <si>
    <t>TT</t>
  </si>
  <si>
    <t>Khoản mục</t>
  </si>
  <si>
    <t>Chi tiết</t>
  </si>
  <si>
    <t>Kinh phí (VNĐ)</t>
  </si>
  <si>
    <t>Tỷ lệ (%)</t>
  </si>
  <si>
    <t>Ghi chú</t>
  </si>
  <si>
    <t>I</t>
  </si>
  <si>
    <t>Khoản 1a: Công lao động</t>
  </si>
  <si>
    <t>6 thành viên nội bộ + thuê ngoài</t>
  </si>
  <si>
    <t xml:space="preserve">  a) Nhân sự nội bộ (6 người)</t>
  </si>
  <si>
    <t>397 ngày</t>
  </si>
  <si>
    <t>60-72 ngày/người</t>
  </si>
  <si>
    <t xml:space="preserve">  b) Thuê ngoài</t>
  </si>
  <si>
    <t>200 ngày</t>
  </si>
  <si>
    <t>1,375,688 ₫/ngày</t>
  </si>
  <si>
    <t xml:space="preserve">  Cộng Khoản 1a</t>
  </si>
  <si>
    <t>II</t>
  </si>
  <si>
    <t>Khoản 1b: Nguyên vật liệu, thiết bị</t>
  </si>
  <si>
    <t>Máy chủ, PC, mạng, phần mềm</t>
  </si>
  <si>
    <t>III</t>
  </si>
  <si>
    <t>Khoản 2: Chi khác</t>
  </si>
  <si>
    <t xml:space="preserve">  a) Giai đoạn 1 (Khảo sát)</t>
  </si>
  <si>
    <t>Đi lại, in ấn</t>
  </si>
  <si>
    <t xml:space="preserve">  b) Giai đoạn 2 (Phát triển)</t>
  </si>
  <si>
    <t>Điện, Internet, in ấn</t>
  </si>
  <si>
    <t xml:space="preserve">  c) Giai đoạn 3 (Triển khai)</t>
  </si>
  <si>
    <t>Đào tạo, truyền thông, bảo trì, dự phòng</t>
  </si>
  <si>
    <t xml:space="preserve">  Cộng Khoản 2</t>
  </si>
  <si>
    <t>TỔNG DỰ TOÁN</t>
  </si>
  <si>
    <t>KHOẢN 1a: CHI PHÍ CÔNG LAO ĐỘNG</t>
  </si>
  <si>
    <t>A. NHÂN SỰ NỘI BỘ</t>
  </si>
  <si>
    <t>Họ và tên</t>
  </si>
  <si>
    <t>Chức danh</t>
  </si>
  <si>
    <t>Hệ số</t>
  </si>
  <si>
    <t>Số ngày công</t>
  </si>
  <si>
    <t>Đơn giá/ngày (₫)</t>
  </si>
  <si>
    <t>Thành tiền (₫)</t>
  </si>
  <si>
    <t>Nguyễn Thế Dũng</t>
  </si>
  <si>
    <t>Kỹ thuật viên</t>
  </si>
  <si>
    <t>7 tasks</t>
  </si>
  <si>
    <t>Trần Đình Hảo</t>
  </si>
  <si>
    <t>Thành viên chính</t>
  </si>
  <si>
    <t>5 tasks</t>
  </si>
  <si>
    <t>Trần Đức Khánh</t>
  </si>
  <si>
    <t>15 tasks</t>
  </si>
  <si>
    <t>Trịnh Kim Nam</t>
  </si>
  <si>
    <t>23 tasks</t>
  </si>
  <si>
    <t>Trịnh Tuấn Linh</t>
  </si>
  <si>
    <t>3 tasks</t>
  </si>
  <si>
    <t>Võ Hoàng Dương</t>
  </si>
  <si>
    <t>Chủ nhiệm</t>
  </si>
  <si>
    <t>Cộng nhân sự nội bộ</t>
  </si>
  <si>
    <t>B. THUÊ NGOÀI</t>
  </si>
  <si>
    <t>Đơn vị thuê ngoài</t>
  </si>
  <si>
    <t>Loại công việc</t>
  </si>
  <si>
    <t>Thuê ngoài - Lập trình</t>
  </si>
  <si>
    <t>Lập trình</t>
  </si>
  <si>
    <t>Thuê ngoài - Phân tích</t>
  </si>
  <si>
    <t>Phân tích</t>
  </si>
  <si>
    <t>14 tasks</t>
  </si>
  <si>
    <t>Thuê ngoài - Thiết kế UI</t>
  </si>
  <si>
    <t>Thiết kế UI</t>
  </si>
  <si>
    <t>11 tasks</t>
  </si>
  <si>
    <t>Cộng thuê ngoài</t>
  </si>
  <si>
    <t>TỔNG CỘNG KHOẢN 1a</t>
  </si>
  <si>
    <t>KHOẢN 1b: NGUYÊN VẬT LIỆU, THIẾT BỊ</t>
  </si>
  <si>
    <t>Tên thiết bị / vật tư</t>
  </si>
  <si>
    <t>Đơn vị</t>
  </si>
  <si>
    <t>Số lượng</t>
  </si>
  <si>
    <t>Đơn giá (₫)</t>
  </si>
  <si>
    <t>Bộ</t>
  </si>
  <si>
    <t>Gói</t>
  </si>
  <si>
    <t>Lô</t>
  </si>
  <si>
    <t>TỔNG CỘNG KHOẢN 1b</t>
  </si>
  <si>
    <t>KHOẢN 2: CHI KHÁC</t>
  </si>
  <si>
    <t>Nội dung</t>
  </si>
  <si>
    <t>Định mức (₫)</t>
  </si>
  <si>
    <t>Giai đoạn 1 - Khảo sát</t>
  </si>
  <si>
    <t>1</t>
  </si>
  <si>
    <t xml:space="preserve">  Đi lại, khảo sát tại cửa hàng</t>
  </si>
  <si>
    <t>Buổi ×10</t>
  </si>
  <si>
    <t>2</t>
  </si>
  <si>
    <t xml:space="preserve">  In ấn tài liệu SRS, HDSD</t>
  </si>
  <si>
    <t xml:space="preserve">  Cộng GĐ1</t>
  </si>
  <si>
    <t>Giai đoạn 2 - Phát triển</t>
  </si>
  <si>
    <t xml:space="preserve">  Điện, Internet phục vụ phát triển</t>
  </si>
  <si>
    <t>Tháng ×6</t>
  </si>
  <si>
    <t xml:space="preserve">  In ấn tài liệu</t>
  </si>
  <si>
    <t xml:space="preserve">  Cộng GĐ2</t>
  </si>
  <si>
    <t>Giai đoạn 3 - Triển khai</t>
  </si>
  <si>
    <t xml:space="preserve">  Đào tạo nhân viên sử dụng</t>
  </si>
  <si>
    <t>Khóa</t>
  </si>
  <si>
    <t xml:space="preserve">  Truyền thông/giới thiệu hệ thống</t>
  </si>
  <si>
    <t>3</t>
  </si>
  <si>
    <t xml:space="preserve">  Bảo trì, hỗ trợ 6 tháng đầu</t>
  </si>
  <si>
    <t>4</t>
  </si>
  <si>
    <t xml:space="preserve">  Dự phòng rủi ro</t>
  </si>
  <si>
    <t xml:space="preserve">  Cộng GĐ3</t>
  </si>
  <si>
    <t>TỔNG CỘNG KHOẢN 2</t>
  </si>
  <si>
    <t>BẢNG PHÂN BỔ CÔNG VIỆC THEO THÀNH VIÊN</t>
  </si>
  <si>
    <t>STT</t>
  </si>
  <si>
    <t>Tên công việc</t>
  </si>
  <si>
    <t>Mô tả</t>
  </si>
  <si>
    <t>Người thực hiện</t>
  </si>
  <si>
    <t>Ngày công</t>
  </si>
  <si>
    <t>Chi phí LĐ (₫)</t>
  </si>
  <si>
    <t>Chi phí khác (₫)</t>
  </si>
  <si>
    <t>Khảo sát yêu cầu</t>
  </si>
  <si>
    <t>1.1</t>
  </si>
  <si>
    <t>Khảo sát hiện trạng</t>
  </si>
  <si>
    <t xml:space="preserve">Khảo sát hiện trạng quy mô các cửa hàng bán thiết </t>
  </si>
  <si>
    <t>1.2</t>
  </si>
  <si>
    <t>Hợp nhất hiện trạng</t>
  </si>
  <si>
    <t>Tổng hợp và hợp nhật các kết luận của khi khảo sát</t>
  </si>
  <si>
    <t>1.3</t>
  </si>
  <si>
    <t>Phân tích hiện trạng</t>
  </si>
  <si>
    <t>Thảo luận, phân tích và đưa ra được các yêu cầu ch</t>
  </si>
  <si>
    <t>1.4</t>
  </si>
  <si>
    <t>Đưa ra báo cáo đặc tả yêu cầu</t>
  </si>
  <si>
    <t>Triển khai các yêu cầu thành tài liệu phân tích yê</t>
  </si>
  <si>
    <t>1.5</t>
  </si>
  <si>
    <t>Mời khách hàng tham vấn</t>
  </si>
  <si>
    <t>Khảo sát ý kiến khách hàng, nhằm tìm ra được những</t>
  </si>
  <si>
    <t>1.6</t>
  </si>
  <si>
    <t>Chỉnh sửa lại yêu cầu phần mềm</t>
  </si>
  <si>
    <t>Chỉnh sửa lại các ý kiến mà khách hàng góp ý khi t</t>
  </si>
  <si>
    <t>Phân tích thiết kế hệ thống</t>
  </si>
  <si>
    <t>2.1</t>
  </si>
  <si>
    <t>Xác định ma trận yêu cầu</t>
  </si>
  <si>
    <t>Lập bảng xác định các công việc và người thực hiện</t>
  </si>
  <si>
    <t>2.2</t>
  </si>
  <si>
    <t>Thiết kế kiến trúc hệ thống</t>
  </si>
  <si>
    <t xml:space="preserve">Nhằm đưa ra cái nhìn tổng quan về việc triển khai </t>
  </si>
  <si>
    <t>2.3</t>
  </si>
  <si>
    <t>Thiết kế biểu đồ UC của hệ thống</t>
  </si>
  <si>
    <t>2.3.1</t>
  </si>
  <si>
    <t>Xác định và phân tích Actor của hệ thống</t>
  </si>
  <si>
    <t>Xác định được những tác nhân tham gia dự án</t>
  </si>
  <si>
    <t>2.3.2</t>
  </si>
  <si>
    <t>Xác định và phân tích các User Case</t>
  </si>
  <si>
    <t>Xác định những chức năng mà dự án cần thực hiện</t>
  </si>
  <si>
    <t>2.3.3</t>
  </si>
  <si>
    <t>Vẽ biểu đồ User Case tổng quát</t>
  </si>
  <si>
    <t xml:space="preserve">Xác định được những chức năng của hệ thống và mối </t>
  </si>
  <si>
    <t>2.4</t>
  </si>
  <si>
    <t>Đặc tả Use Case</t>
  </si>
  <si>
    <t>2.4.1</t>
  </si>
  <si>
    <t>Use Case Đăng nhập</t>
  </si>
  <si>
    <t>Xác định yêu cầu phi chức năng</t>
  </si>
  <si>
    <t>2.4.2</t>
  </si>
  <si>
    <t>Use Case Đăng xuất</t>
  </si>
  <si>
    <t>Xác định yêu cầu bảo mật</t>
  </si>
  <si>
    <t>2.4.3</t>
  </si>
  <si>
    <t>Use Case Đổi mật khẩu</t>
  </si>
  <si>
    <t>Xác định nghiệp vụ</t>
  </si>
  <si>
    <t>2.4.4</t>
  </si>
  <si>
    <t>Use Case Đặt hàng</t>
  </si>
  <si>
    <t>Xác định các tiêu chí đặt hàng</t>
  </si>
  <si>
    <t>2.4.5</t>
  </si>
  <si>
    <t>Use Case bán hàng online</t>
  </si>
  <si>
    <t>Xác định yếu tố của chức năng bán hàng online</t>
  </si>
  <si>
    <t>2.4.6</t>
  </si>
  <si>
    <t>Use Case quản lý đơn hàng</t>
  </si>
  <si>
    <t>Xác định các yếu tố của chức năng quản lý đơn hàng</t>
  </si>
  <si>
    <t>2.4.7</t>
  </si>
  <si>
    <t>Use Case quản lý xuất/nhập kho</t>
  </si>
  <si>
    <t>Xác định yếu tố của chức năng quản lý tồn kho</t>
  </si>
  <si>
    <t>2.4.8</t>
  </si>
  <si>
    <t>Use Case báo cáo tài chính</t>
  </si>
  <si>
    <t>Xác định yếu tố của chức năng báo cáo và thống kê</t>
  </si>
  <si>
    <t>2.5</t>
  </si>
  <si>
    <t>Xác định biểu đồ lớp</t>
  </si>
  <si>
    <t>2.5.1</t>
  </si>
  <si>
    <t>Biểu đồ lớp Đăng nhập</t>
  </si>
  <si>
    <t>Xây dựng mô hình lớp bao gồm các thuộc tính và các</t>
  </si>
  <si>
    <t>2.5.2</t>
  </si>
  <si>
    <t>Biểu đồ lớp Đăng xuất</t>
  </si>
  <si>
    <t>2.5.3</t>
  </si>
  <si>
    <t>Biểu đồ lớp Đổi mật khẩu</t>
  </si>
  <si>
    <t>2.5.4</t>
  </si>
  <si>
    <t>Biểu đồ lớp Tìm kiếm sản phẩm</t>
  </si>
  <si>
    <t>2.5.5</t>
  </si>
  <si>
    <t>Biểu đồ lớp Thêm sản phẩm</t>
  </si>
  <si>
    <t>2.5.6</t>
  </si>
  <si>
    <t>Biểu đồ lớp Sửa sản phẩm</t>
  </si>
  <si>
    <t>2.5.7</t>
  </si>
  <si>
    <t>Biểu đồ lớp Tìm kiếm đơn hàng</t>
  </si>
  <si>
    <t>2.5.8</t>
  </si>
  <si>
    <t>Biểu đồ lớp Cập nhật đơn hàng</t>
  </si>
  <si>
    <t>2.5.9</t>
  </si>
  <si>
    <t>Biểu đồ lớp Quản lý kho</t>
  </si>
  <si>
    <t>2.5.10</t>
  </si>
  <si>
    <t>Biểu đồ lớp Xuất báo cáo</t>
  </si>
  <si>
    <t>2.6</t>
  </si>
  <si>
    <t>Xác định biểu đồ tuần tự</t>
  </si>
  <si>
    <t>2.6.1</t>
  </si>
  <si>
    <t>Biểu đồ tuần tự Đăng nhập</t>
  </si>
  <si>
    <t>Xây dựng các bước trong quy trình khi Đăng nhập</t>
  </si>
  <si>
    <t>2.6.2</t>
  </si>
  <si>
    <t>Biểu đồ tuần tự Đăng xuất</t>
  </si>
  <si>
    <t>Xây dựng các bước trong quy trình khi Đăng xuất</t>
  </si>
  <si>
    <t>2.6.3</t>
  </si>
  <si>
    <t>Biểu đồ tuần tự Đổi mật khẩu</t>
  </si>
  <si>
    <t>Xây dựng các bước trong quy trình khi Đổi mật khẩu</t>
  </si>
  <si>
    <t>2.6.4</t>
  </si>
  <si>
    <t>Biểu đồ tuần tự Đặt hàng</t>
  </si>
  <si>
    <t>Xây dựng các bước trong quy trình khi Đặt hàng</t>
  </si>
  <si>
    <t>2.6.5</t>
  </si>
  <si>
    <t>Biểu đồ tuần tự Tìm kiếm sản phẩm</t>
  </si>
  <si>
    <t>Xây dựng các bước trong quy trình khi Tìm kiếm sản</t>
  </si>
  <si>
    <t>2.6.6</t>
  </si>
  <si>
    <t>Biểu đồ tuần tự Sửa sản phẩm</t>
  </si>
  <si>
    <t>Xây dựng các bước trong quy trình khi Sửa sản phẩm</t>
  </si>
  <si>
    <t>2.6.7</t>
  </si>
  <si>
    <t>Biểu đồ tuần tự Tìm kiếm đơn hàng</t>
  </si>
  <si>
    <t>Xây dựng các bước trong quy trình khi Tìm kiếm đơn</t>
  </si>
  <si>
    <t>2.6.8</t>
  </si>
  <si>
    <t>Biểu đồ tuần tự Cập nhật đơn hàng</t>
  </si>
  <si>
    <t>Xây dựng các bước trong quy trình khi Cập nhật đơn</t>
  </si>
  <si>
    <t>2.6.9</t>
  </si>
  <si>
    <t>Biểu đồ tuần tự bán hàng online</t>
  </si>
  <si>
    <t>Xây dựng các bước trong quy trình khi Bán hàng onl</t>
  </si>
  <si>
    <t>2.6.10</t>
  </si>
  <si>
    <t>Biểu đồ tuần tự xuất/nhập kho</t>
  </si>
  <si>
    <t>Xây dựng trình tự các bước khi quản lý xuất/nhập k</t>
  </si>
  <si>
    <t>2.6.11</t>
  </si>
  <si>
    <t>Biểu đồ tuần tự báo cáo tài chính</t>
  </si>
  <si>
    <t>Xây dựng trình tự các bước khi báo cáo tài chính</t>
  </si>
  <si>
    <t>2.6.12</t>
  </si>
  <si>
    <t>Biểu đồ tuần tự Xem báo cáo</t>
  </si>
  <si>
    <t>Xây dựng các bước trong quy trình khi Xem báo cáo</t>
  </si>
  <si>
    <t>2.7</t>
  </si>
  <si>
    <t>Xác định sơ đồ hoạt động</t>
  </si>
  <si>
    <t>2.7.1</t>
  </si>
  <si>
    <t>Sơ đồ hoạt động Đăng nhập</t>
  </si>
  <si>
    <t>Xây dựng các bước hoạt động cụ thể khi Đăng nhập</t>
  </si>
  <si>
    <t>2.7.2</t>
  </si>
  <si>
    <t>Sơ đồ hoạt động Đăng xuất</t>
  </si>
  <si>
    <t>Xây dựng các bước hoạt động cụ thể khi Đăng xuất</t>
  </si>
  <si>
    <t>2.7.3</t>
  </si>
  <si>
    <t>Sơ đồ hoạt động Đổi mật khẩu</t>
  </si>
  <si>
    <t>Xây dựng các bước hoạt động cụ thể khi Đổi mật khẩ</t>
  </si>
  <si>
    <t>2.7.4</t>
  </si>
  <si>
    <t>Sơ đồ hoạt động Đặt hàng</t>
  </si>
  <si>
    <t>Xây dựng các bước hoạt động cụ thể khi Đặt hàng</t>
  </si>
  <si>
    <t>2.7.5</t>
  </si>
  <si>
    <t>Sơ đồ hoạt động Tìm kiếm sản phẩm</t>
  </si>
  <si>
    <t>Xây dựng các bước hoạt động cụ thể khi Tìm kiếm sả</t>
  </si>
  <si>
    <t>2.7.6</t>
  </si>
  <si>
    <t>Sơ đồ hoạt động Sửa sản phẩm</t>
  </si>
  <si>
    <t>Xây dựng các bước hoạt động cụ thể khi Sửa sản phẩ</t>
  </si>
  <si>
    <t>2.7.7</t>
  </si>
  <si>
    <t>Sơ đồ hoạt động Tìm kiếm đơn hàng</t>
  </si>
  <si>
    <t>Xây dựng các bước hoạt động cụ thể khi Tìm kiếm đơ</t>
  </si>
  <si>
    <t>2.7.8</t>
  </si>
  <si>
    <t>Sơ đồ hoạt động Cập nhật đơn hàng</t>
  </si>
  <si>
    <t>Xây dựng các bước hoạt động cụ thể khi Cập nhật đơ</t>
  </si>
  <si>
    <t>2.7.9</t>
  </si>
  <si>
    <t>Sơ đồ hoạt động Bán hàng online</t>
  </si>
  <si>
    <t>Xây dựng các bước hoạt động cụ thể khi Quản lý kho</t>
  </si>
  <si>
    <t>2.7.10</t>
  </si>
  <si>
    <t>Sơ đồ hoạt động Xuất/Nhập kho</t>
  </si>
  <si>
    <t>Xây dựng các bước hoạt động cụ thể khi Liệt kê phi</t>
  </si>
  <si>
    <t>2.7.11</t>
  </si>
  <si>
    <t>Sơ đồ hoạt động Báo cáo tài chính</t>
  </si>
  <si>
    <t>Xây dựng các bước hoạt động cụ thể khi Tìm kiếm tà</t>
  </si>
  <si>
    <t>2.7.12</t>
  </si>
  <si>
    <t>Sơ đồ hoạt động Xem báo cáo</t>
  </si>
  <si>
    <t>Xây dựng các bước hoạt động cụ thể khi Xem báo cáo</t>
  </si>
  <si>
    <t>2.8</t>
  </si>
  <si>
    <t>Thiết kế giao diện</t>
  </si>
  <si>
    <t>2.8.1</t>
  </si>
  <si>
    <t>Thiết kế giao diện Trang chủ</t>
  </si>
  <si>
    <t>Bản thử Thiết kế giao diện Trang chủ</t>
  </si>
  <si>
    <t>2.8.2</t>
  </si>
  <si>
    <t>Thiết kế giao diện Trang liệt kê sản phẩm</t>
  </si>
  <si>
    <t>Bản thử Thiết kế giao diện Trang liệt kê sản phẩm</t>
  </si>
  <si>
    <t>2.8.3</t>
  </si>
  <si>
    <t>Thiết kế giao diện Trang Quản lý sản phẩm</t>
  </si>
  <si>
    <t>Bản thử Thiết kế giao diện Trang Quản lý sản phẩm</t>
  </si>
  <si>
    <t>2.8.4</t>
  </si>
  <si>
    <t>Thiết kế giao diện Danh mục hàng</t>
  </si>
  <si>
    <t>Bản thử Thiết kế giao diện Danh mục hàng</t>
  </si>
  <si>
    <t>2.8.5</t>
  </si>
  <si>
    <t>Thiết kế giao diện Quản lý đơn hàng</t>
  </si>
  <si>
    <t>Bản thử Thiết kế giao diện Quản lý đơn hàng</t>
  </si>
  <si>
    <t>2.8.6</t>
  </si>
  <si>
    <t>Thiết kế giao diện Quản lý kho</t>
  </si>
  <si>
    <t>Bản thử Thiết kế giao diện Quản lý kho</t>
  </si>
  <si>
    <t>2.8.7</t>
  </si>
  <si>
    <t>Thiết kế giao diện Thay đổi thông tin tài khoản</t>
  </si>
  <si>
    <t xml:space="preserve">Bản thử Thiết kế giao diện Thay đổi thông tin tài </t>
  </si>
  <si>
    <t>2.8.8</t>
  </si>
  <si>
    <t>Thiết kế giao diện cho phần Xem xuất báo cáo</t>
  </si>
  <si>
    <t>Bản thử 
 Thiết kế giao diện cho phần Xem xuất báo</t>
  </si>
  <si>
    <t>2.8.9</t>
  </si>
  <si>
    <t>Thiết kế giao diện Trang đăng xuất</t>
  </si>
  <si>
    <t>Bản thử 
 Thiết kế giao diện Trang đăng xuất</t>
  </si>
  <si>
    <t>2.8.10</t>
  </si>
  <si>
    <t>Thiết kế giao diện Trang Báo cáo</t>
  </si>
  <si>
    <t>Bản thử Thiết kế giao diện Trang Báo cáo</t>
  </si>
  <si>
    <t>2.8.11</t>
  </si>
  <si>
    <t>Thiết kế giao diện Trang Đổi mật khẩu</t>
  </si>
  <si>
    <t>Bản thử Thiết kế giao diện Trang Đổi mật khẩu</t>
  </si>
  <si>
    <t>2.9</t>
  </si>
  <si>
    <t>Mời khách hàng tham vấn giao diện</t>
  </si>
  <si>
    <t>Hỏi ý kiến cuối cùng của khách hàng về giao diện c</t>
  </si>
  <si>
    <t>2.10</t>
  </si>
  <si>
    <t>Chỉnh sửa theo yêu cầu</t>
  </si>
  <si>
    <t>Chỉnh sửa theo những ý kiến của khách hàng, làm ca</t>
  </si>
  <si>
    <t>Xây dựng chương trình</t>
  </si>
  <si>
    <t>3.1</t>
  </si>
  <si>
    <t>Thiết kế CSDL</t>
  </si>
  <si>
    <t>Xây dựng cơ sở dữ liệu cho dự án</t>
  </si>
  <si>
    <t>3.2</t>
  </si>
  <si>
    <t>Xây dựng module tầng Data Access</t>
  </si>
  <si>
    <t>Xây dựng tầng giao tiếp trực tiếp với CSDL</t>
  </si>
  <si>
    <t>3.3</t>
  </si>
  <si>
    <t>Xây dựng module tầng ADO</t>
  </si>
  <si>
    <t>Xây dựng tầng giao tiếp gián tiếp với CSDL</t>
  </si>
  <si>
    <t>3.4</t>
  </si>
  <si>
    <t>Xây dựng các chức năng phần Quản trị</t>
  </si>
  <si>
    <t>Xây dựng các chức năng liên quan cho người quản tr</t>
  </si>
  <si>
    <t>3.5</t>
  </si>
  <si>
    <t>Xây dựng chức năng phần người dùng</t>
  </si>
  <si>
    <t>3.5.1</t>
  </si>
  <si>
    <t>Đăng ký/Đăng nhập</t>
  </si>
  <si>
    <t>Xây dựng phần đăng ký, đăng nhập cho người dùng và</t>
  </si>
  <si>
    <t>3.5.2</t>
  </si>
  <si>
    <t>Tìm kiếm &amp; lọc sản phẩm</t>
  </si>
  <si>
    <t>Xây dựng chức năng tìm kiếm và lọc sản phẩm theo c</t>
  </si>
  <si>
    <t>3.5.3</t>
  </si>
  <si>
    <t>Giỏ hàng &amp; Đặt hàng</t>
  </si>
  <si>
    <t>Xây dựng chức năng giỏ hàng và quy trình đặt hàng</t>
  </si>
  <si>
    <t>3.5.4</t>
  </si>
  <si>
    <t>Thanh toán trực tuyến</t>
  </si>
  <si>
    <t xml:space="preserve">Tích hợp cổng thanh toán trực tuyến (COD, thẻ, ví </t>
  </si>
  <si>
    <t>3.5.5</t>
  </si>
  <si>
    <t>Quản lý tài khoản cá nhân</t>
  </si>
  <si>
    <t>Xây dựng chức năng xem/sửa thông tin tài khoản, lị</t>
  </si>
  <si>
    <t>3.5.6</t>
  </si>
  <si>
    <t>Đánh giá &amp; bình luận sản phẩm</t>
  </si>
  <si>
    <t>Xây dựng chức năng đánh giá sao và bình luận cho s</t>
  </si>
  <si>
    <t>3.5.7</t>
  </si>
  <si>
    <t>Xem lịch sử đơn hàng</t>
  </si>
  <si>
    <t xml:space="preserve">Xây dựng chức năng hiển thị lịch sử và trạng thái </t>
  </si>
  <si>
    <t>3.6</t>
  </si>
  <si>
    <t>Viết hướng dẫn sử dụng</t>
  </si>
  <si>
    <t>Viết tài liệu hướng dẫn sử dụng chương trình</t>
  </si>
  <si>
    <t>Kiểm thử chương trình</t>
  </si>
  <si>
    <t>4.1</t>
  </si>
  <si>
    <t>Kiểm thử chức năng</t>
  </si>
  <si>
    <t>4.1.1</t>
  </si>
  <si>
    <t>Kiểm thử các chức năng phần quản trị</t>
  </si>
  <si>
    <t>Tìm kiếm những thiếu sót và lỗi trong phần quản tr</t>
  </si>
  <si>
    <t>4.1.2</t>
  </si>
  <si>
    <t>Kiểm thử chức năng phần người dùng</t>
  </si>
  <si>
    <t>Kiểm tra lỗi các chức năng phần người dùng</t>
  </si>
  <si>
    <t>4.2</t>
  </si>
  <si>
    <t>Kiểm thử toàn cục</t>
  </si>
  <si>
    <t>Thử lỗi tổng quát toàn chương trình</t>
  </si>
  <si>
    <t>4.3</t>
  </si>
  <si>
    <t>Sửa lỗi chương trình</t>
  </si>
  <si>
    <t>Sửa tất cả các lỗi đã được tìm thấy</t>
  </si>
  <si>
    <t>5</t>
  </si>
  <si>
    <t>Triển khai hệ thống</t>
  </si>
  <si>
    <t>5.1</t>
  </si>
  <si>
    <t>Triển khai trong mạng nội bộ</t>
  </si>
  <si>
    <t>Triển khai ứng dụng tại cửa hàng</t>
  </si>
  <si>
    <t>5.2</t>
  </si>
  <si>
    <t>Triển khai ra toàn cục</t>
  </si>
  <si>
    <t>Triển khai ứng dụng tại các mô hình cửa hàng tương</t>
  </si>
  <si>
    <t>5.3</t>
  </si>
  <si>
    <t>Báo cáo chương trình</t>
  </si>
  <si>
    <t>Báo cáo nghiệm thu chương trình</t>
  </si>
  <si>
    <t>5.4</t>
  </si>
  <si>
    <t>Đào tạo nhân lực sử dụng chương trình</t>
  </si>
  <si>
    <t>Hướng dẫn sử dụng chương trình, đào tạo cán bộ, ng</t>
  </si>
  <si>
    <t>51</t>
  </si>
  <si>
    <t>Bảo trì hệ thống</t>
  </si>
  <si>
    <t xml:space="preserve">Cử nhân viên bảo dưỡng, bảo trì hệ thống khi chạy </t>
  </si>
  <si>
    <t>TỔNG CỘNG</t>
  </si>
  <si>
    <t>Gắn task</t>
  </si>
  <si>
    <t>I.</t>
  </si>
  <si>
    <t>I. Máy chủ &amp; hạ tầng</t>
  </si>
  <si>
    <t>Máy chủ Dell PowerEdge T150 (Xeon E-2314, 16GB ECC, 2TB SATA)</t>
  </si>
  <si>
    <t>UPS APC Smart-UPS 1500VA (SMT1500I)</t>
  </si>
  <si>
    <t>Cái</t>
  </si>
  <si>
    <t>Ổ cứng SSD Samsung 870 EVO 1TB (cho server)</t>
  </si>
  <si>
    <t>RAM DDR4 ECC 16GB bổ sung (server)</t>
  </si>
  <si>
    <t>Thanh</t>
  </si>
  <si>
    <t>HDD WD Red Plus 4TB (lưu trữ/backup)</t>
  </si>
  <si>
    <t>Ổ</t>
  </si>
  <si>
    <t>Tủ rack 12U + phụ kiện lắp đặt</t>
  </si>
  <si>
    <t>Windows Server 2022 Standard (license)</t>
  </si>
  <si>
    <t>Bản</t>
  </si>
  <si>
    <t xml:space="preserve">  Cộng I. Máy chủ &amp; hạ tầng</t>
  </si>
  <si>
    <t>II.</t>
  </si>
  <si>
    <t>II. Máy tính phát triển</t>
  </si>
  <si>
    <t>PC phát triển (Core i5-13400, 16GB, SSD 512GB, màn hình 24" IPS)</t>
  </si>
  <si>
    <t>3.4, 3.5.1</t>
  </si>
  <si>
    <t>Bàn phím cơ + chuột không dây Logitech</t>
  </si>
  <si>
    <t>Tai nghe có mic + Webcam Logitech C920</t>
  </si>
  <si>
    <t xml:space="preserve">  Cộng II. Máy tính phát triển</t>
  </si>
  <si>
    <t>III.</t>
  </si>
  <si>
    <t>III. Thiết bị mạng &amp; ngoại vi</t>
  </si>
  <si>
    <t>Router MikroTik hAP ax³</t>
  </si>
  <si>
    <t>Switch TP-Link TL-SG1024D 24-port Gigabit</t>
  </si>
  <si>
    <t>Access Point TP-Link EAP615-Wall (Wi-Fi 6)</t>
  </si>
  <si>
    <t>Cáp mạng Cat6 UTP (305m) + đầu RJ45 + tool bấm</t>
  </si>
  <si>
    <t>Máy in HP LaserJet M211dw</t>
  </si>
  <si>
    <t>Máy quét mã vạch Honeywell Voyager 1450g (USB)</t>
  </si>
  <si>
    <t xml:space="preserve">  Cộng III. Thiết bị mạng &amp; ngoại vi</t>
  </si>
  <si>
    <t>IV.</t>
  </si>
  <si>
    <t>IV. Phần mềm bản quyền</t>
  </si>
  <si>
    <t>Microsoft SQL Server 2022 Standard (1 license)</t>
  </si>
  <si>
    <t>Visual Studio Professional 2022 (license)</t>
  </si>
  <si>
    <t>Microsoft 365 Business Basic (1 năm, 5 users)</t>
  </si>
  <si>
    <t>GitLab Premium Self-Managed (1 năm)</t>
  </si>
  <si>
    <t>Figma Professional (1 năm, 2 editor seats)</t>
  </si>
  <si>
    <t xml:space="preserve">  Cộng IV. Phần mềm bản quyền</t>
  </si>
  <si>
    <t>V.</t>
  </si>
  <si>
    <t>V. Thiết bị kiểm thử</t>
  </si>
  <si>
    <t>PC kiểm thử (Core i3-13100, 8GB, SSD 256GB, màn hình 22")</t>
  </si>
  <si>
    <t>4.1.1, 4.1.2</t>
  </si>
  <si>
    <t>Điện thoại Android Samsung Galaxy A15 (kiểm thử mobile)</t>
  </si>
  <si>
    <t xml:space="preserve">  Cộng V. Thiết bị kiểm thử</t>
  </si>
  <si>
    <t>VI.</t>
  </si>
  <si>
    <t>VI. Vật tư tiêu hao</t>
  </si>
  <si>
    <t>Ổ cứng di động Seagate 2TB (sao lưu dữ liệu)</t>
  </si>
  <si>
    <t>USB Kingston DataTraveler 64GB</t>
  </si>
  <si>
    <t>Dây nguồn, dây tín hiệu, ổ cắm điện dự phòng</t>
  </si>
  <si>
    <t xml:space="preserve">  Cộng VI. Vật tư tiêu hao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</si>
</sst>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  <font>
      <b/>
      <sz val="12"/>
      <color rgb="FF2F5496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D6E4F0"/>
        <bgColor rgb="FFE2EFDA"/>
      </patternFill>
    </fill>
    <fill>
      <patternFill patternType="solid">
        <fgColor rgb="FFF4B084"/>
        <bgColor rgb="FFFF99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6" fillId="4" borderId="1" xfId="0" applyFont="1" applyFill="1" applyBorder="1"/>
    <xf numFmtId="3" fontId="6" fillId="4" borderId="1" xfId="0" applyNumberFormat="1" applyFont="1" applyFill="1" applyBorder="1"/>
    <xf numFmtId="164" fontId="6" fillId="4" borderId="1" xfId="0" applyNumberFormat="1" applyFont="1" applyFill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/>
    <xf numFmtId="3" fontId="5" fillId="3" borderId="1" xfId="0" applyNumberFormat="1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/>
    <xf numFmtId="3" fontId="5" fillId="5" borderId="1" xfId="0" applyNumberFormat="1" applyFont="1" applyFill="1" applyBorder="1"/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right" vertical="center"/>
    </xf>
    <xf numFmtId="3" fontId="8" fillId="5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/>
    <xf numFmtId="3" fontId="6" fillId="4" borderId="1" xfId="0" applyNumberFormat="1" applyFont="1" applyFill="1" applyBorder="1"/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/>
    <xf numFmtId="3" fontId="5" fillId="3" borderId="1" xfId="0" applyNumberFormat="1" applyFont="1" applyFill="1" applyBorder="1"/>
    <xf numFmtId="0" fontId="5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4B084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16"/>
  <sheetViews>
    <sheetView zoomScaleNormal="100" workbookViewId="0"/>
  </sheetViews>
  <sheetFormatPr defaultColWidth="8.7109375" defaultRowHeight="15" x14ac:dyDescent="0.25"/>
  <cols>
    <col min="1" max="1" width="6" customWidth="1"/>
    <col min="2" max="2" width="38" customWidth="1"/>
    <col min="3" max="3" width="18" customWidth="1"/>
    <col min="4" max="4" width="22" customWidth="1"/>
    <col min="5" max="5" width="12" customWidth="1"/>
    <col min="6" max="6" width="35" customWidth="1"/>
  </cols>
  <sheetData>
    <row r="1" spans="1:6" ht="18" x14ac:dyDescent="0.25">
      <c r="A1" s="3" t="s">
        <v>0</v>
      </c>
      <c r="B1" s="3"/>
      <c r="C1" s="3"/>
      <c r="D1" s="3"/>
      <c r="E1" s="3"/>
      <c r="F1" s="3"/>
    </row>
    <row r="2" spans="1:6" ht="15.75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s="5" t="s">
        <v>9</v>
      </c>
      <c r="C5" s="5"/>
      <c r="D5" s="6"/>
      <c r="E5" s="6"/>
      <c r="F5" s="6" t="s">
        <v>10</v>
      </c>
    </row>
    <row r="6" spans="1:6" x14ac:dyDescent="0.25">
      <c r="A6" s="5"/>
      <c r="B6" s="5" t="s">
        <v>11</v>
      </c>
      <c r="C6" s="5" t="s">
        <v>12</v>
      </c>
      <c r="D6" s="7">
        <v>425000000</v>
      </c>
      <c r="E6" s="6"/>
      <c r="F6" s="6" t="s">
        <v>13</v>
      </c>
    </row>
    <row r="7" spans="1:6" x14ac:dyDescent="0.25">
      <c r="A7" s="5"/>
      <c r="B7" s="5" t="s">
        <v>14</v>
      </c>
      <c r="C7" s="5" t="s">
        <v>15</v>
      </c>
      <c r="D7" s="7">
        <v>275000000</v>
      </c>
      <c r="E7" s="6"/>
      <c r="F7" s="6" t="s">
        <v>16</v>
      </c>
    </row>
    <row r="8" spans="1:6" x14ac:dyDescent="0.25">
      <c r="A8" s="8"/>
      <c r="B8" s="8" t="s">
        <v>17</v>
      </c>
      <c r="C8" s="8"/>
      <c r="D8" s="9">
        <v>700000000</v>
      </c>
      <c r="E8" s="10">
        <f>D6/D13</f>
        <v>5.3125</v>
      </c>
      <c r="F8" s="11"/>
    </row>
    <row r="9" spans="1:6" x14ac:dyDescent="0.25">
      <c r="A9" s="5" t="s">
        <v>18</v>
      </c>
      <c r="B9" s="5" t="s">
        <v>19</v>
      </c>
      <c r="C9" s="5"/>
      <c r="D9" s="7">
        <v>200000000</v>
      </c>
      <c r="E9" s="12">
        <f>D9/D13</f>
        <v>2.5</v>
      </c>
      <c r="F9" s="6" t="s">
        <v>20</v>
      </c>
    </row>
    <row r="10" spans="1:6" x14ac:dyDescent="0.25">
      <c r="A10" s="5" t="s">
        <v>21</v>
      </c>
      <c r="B10" s="5" t="s">
        <v>22</v>
      </c>
      <c r="C10" s="5"/>
      <c r="D10" s="6"/>
      <c r="E10" s="6"/>
      <c r="F10" s="6"/>
    </row>
    <row r="11" spans="1:6" x14ac:dyDescent="0.25">
      <c r="A11" s="5"/>
      <c r="B11" s="5" t="s">
        <v>23</v>
      </c>
      <c r="C11" s="5"/>
      <c r="D11" s="7">
        <v>12000000</v>
      </c>
      <c r="E11" s="6"/>
      <c r="F11" s="6" t="s">
        <v>24</v>
      </c>
    </row>
    <row r="12" spans="1:6" x14ac:dyDescent="0.25">
      <c r="A12" s="5"/>
      <c r="B12" s="5" t="s">
        <v>25</v>
      </c>
      <c r="C12" s="5"/>
      <c r="D12" s="7">
        <v>8000000</v>
      </c>
      <c r="E12" s="6"/>
      <c r="F12" s="6" t="s">
        <v>26</v>
      </c>
    </row>
    <row r="13" spans="1:6" x14ac:dyDescent="0.25">
      <c r="A13" s="5"/>
      <c r="B13" s="5" t="s">
        <v>27</v>
      </c>
      <c r="C13" s="5"/>
      <c r="D13" s="7">
        <v>80000000</v>
      </c>
      <c r="E13" s="6"/>
      <c r="F13" s="6" t="s">
        <v>28</v>
      </c>
    </row>
    <row r="14" spans="1:6" x14ac:dyDescent="0.25">
      <c r="A14" s="8"/>
      <c r="B14" s="8" t="s">
        <v>29</v>
      </c>
      <c r="C14" s="8"/>
      <c r="D14" s="9">
        <f>D11+D12+D13</f>
        <v>100000000</v>
      </c>
      <c r="E14" s="10">
        <f>D14/D16</f>
        <v>0.1</v>
      </c>
      <c r="F14" s="11"/>
    </row>
    <row r="15" spans="1:6" x14ac:dyDescent="0.25">
      <c r="A15" s="13"/>
      <c r="B15" s="13"/>
      <c r="C15" s="13"/>
      <c r="D15" s="13"/>
      <c r="E15" s="13"/>
      <c r="F15" s="13"/>
    </row>
    <row r="16" spans="1:6" ht="15.75" x14ac:dyDescent="0.25">
      <c r="A16" s="14"/>
      <c r="B16" s="14" t="s">
        <v>30</v>
      </c>
      <c r="C16" s="14"/>
      <c r="D16" s="15">
        <f>D8+D9+D14</f>
        <v>1000000000</v>
      </c>
      <c r="E16" s="16">
        <v>1</v>
      </c>
      <c r="F16" s="14"/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H19"/>
  <sheetViews>
    <sheetView zoomScaleNormal="100" workbookViewId="0"/>
  </sheetViews>
  <sheetFormatPr defaultColWidth="8.7109375" defaultRowHeight="15" x14ac:dyDescent="0.25"/>
  <cols>
    <col min="1" max="1" width="6" customWidth="1"/>
    <col min="2" max="2" width="30" customWidth="1"/>
    <col min="3" max="3" width="22" customWidth="1"/>
    <col min="4" max="4" width="10" customWidth="1"/>
    <col min="5" max="5" width="16" customWidth="1"/>
    <col min="6" max="6" width="20" customWidth="1"/>
    <col min="7" max="7" width="22" customWidth="1"/>
    <col min="8" max="8" width="18" customWidth="1"/>
  </cols>
  <sheetData>
    <row r="1" spans="1:8" ht="18" x14ac:dyDescent="0.25">
      <c r="A1" s="1" t="s">
        <v>31</v>
      </c>
      <c r="B1" s="1"/>
      <c r="C1" s="1"/>
      <c r="D1" s="1"/>
      <c r="E1" s="1"/>
      <c r="F1" s="1"/>
      <c r="G1" s="1"/>
      <c r="H1" s="1"/>
    </row>
    <row r="3" spans="1:8" ht="15.75" x14ac:dyDescent="0.25">
      <c r="A3" s="17" t="s">
        <v>32</v>
      </c>
    </row>
    <row r="4" spans="1:8" x14ac:dyDescent="0.25">
      <c r="A4" s="4" t="s">
        <v>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7</v>
      </c>
    </row>
    <row r="5" spans="1:8" x14ac:dyDescent="0.25">
      <c r="A5" s="18">
        <v>1</v>
      </c>
      <c r="B5" s="18" t="s">
        <v>39</v>
      </c>
      <c r="C5" s="18" t="s">
        <v>40</v>
      </c>
      <c r="D5" s="18">
        <v>0.4</v>
      </c>
      <c r="E5" s="6">
        <v>65</v>
      </c>
      <c r="F5" s="7">
        <v>800000</v>
      </c>
      <c r="G5" s="7">
        <f t="shared" ref="G5:G10" si="0">E5*F5</f>
        <v>52000000</v>
      </c>
      <c r="H5" s="6" t="s">
        <v>41</v>
      </c>
    </row>
    <row r="6" spans="1:8" x14ac:dyDescent="0.25">
      <c r="A6" s="18">
        <v>2</v>
      </c>
      <c r="B6" s="18" t="s">
        <v>42</v>
      </c>
      <c r="C6" s="18" t="s">
        <v>43</v>
      </c>
      <c r="D6" s="18">
        <v>0.6</v>
      </c>
      <c r="E6" s="6">
        <v>66.5</v>
      </c>
      <c r="F6" s="7">
        <v>1200000</v>
      </c>
      <c r="G6" s="7">
        <f t="shared" si="0"/>
        <v>79800000</v>
      </c>
      <c r="H6" s="6" t="s">
        <v>44</v>
      </c>
    </row>
    <row r="7" spans="1:8" x14ac:dyDescent="0.25">
      <c r="A7" s="18">
        <v>3</v>
      </c>
      <c r="B7" s="18" t="s">
        <v>45</v>
      </c>
      <c r="C7" s="18" t="s">
        <v>40</v>
      </c>
      <c r="D7" s="18">
        <v>0.4</v>
      </c>
      <c r="E7" s="6">
        <v>64.5</v>
      </c>
      <c r="F7" s="7">
        <v>800000</v>
      </c>
      <c r="G7" s="7">
        <f t="shared" si="0"/>
        <v>51600000</v>
      </c>
      <c r="H7" s="6" t="s">
        <v>46</v>
      </c>
    </row>
    <row r="8" spans="1:8" x14ac:dyDescent="0.25">
      <c r="A8" s="18">
        <v>4</v>
      </c>
      <c r="B8" s="18" t="s">
        <v>47</v>
      </c>
      <c r="C8" s="18" t="s">
        <v>40</v>
      </c>
      <c r="D8" s="18">
        <v>0.4</v>
      </c>
      <c r="E8" s="6">
        <v>65</v>
      </c>
      <c r="F8" s="7">
        <v>800000</v>
      </c>
      <c r="G8" s="7">
        <f t="shared" si="0"/>
        <v>52000000</v>
      </c>
      <c r="H8" s="6" t="s">
        <v>48</v>
      </c>
    </row>
    <row r="9" spans="1:8" x14ac:dyDescent="0.25">
      <c r="A9" s="18">
        <v>5</v>
      </c>
      <c r="B9" s="18" t="s">
        <v>49</v>
      </c>
      <c r="C9" s="18" t="s">
        <v>43</v>
      </c>
      <c r="D9" s="18">
        <v>0.6</v>
      </c>
      <c r="E9" s="6">
        <v>70</v>
      </c>
      <c r="F9" s="7">
        <v>1200000</v>
      </c>
      <c r="G9" s="7">
        <f t="shared" si="0"/>
        <v>84000000</v>
      </c>
      <c r="H9" s="6" t="s">
        <v>50</v>
      </c>
    </row>
    <row r="10" spans="1:8" x14ac:dyDescent="0.25">
      <c r="A10" s="18">
        <v>6</v>
      </c>
      <c r="B10" s="18" t="s">
        <v>51</v>
      </c>
      <c r="C10" s="18" t="s">
        <v>52</v>
      </c>
      <c r="D10" s="18">
        <v>0.8</v>
      </c>
      <c r="E10" s="6">
        <v>66</v>
      </c>
      <c r="F10" s="7">
        <v>1600000</v>
      </c>
      <c r="G10" s="7">
        <f t="shared" si="0"/>
        <v>105600000</v>
      </c>
      <c r="H10" s="6" t="s">
        <v>50</v>
      </c>
    </row>
    <row r="11" spans="1:8" x14ac:dyDescent="0.25">
      <c r="A11" s="19"/>
      <c r="B11" s="19" t="s">
        <v>53</v>
      </c>
      <c r="C11" s="19"/>
      <c r="D11" s="19"/>
      <c r="E11" s="19">
        <f>SUM(E5:E10)</f>
        <v>397</v>
      </c>
      <c r="F11" s="19"/>
      <c r="G11" s="20">
        <f>SUM(G5:G10)</f>
        <v>425000000</v>
      </c>
      <c r="H11" s="19"/>
    </row>
    <row r="13" spans="1:8" ht="15.75" x14ac:dyDescent="0.25">
      <c r="A13" s="17" t="s">
        <v>54</v>
      </c>
    </row>
    <row r="14" spans="1:8" x14ac:dyDescent="0.25">
      <c r="A14" s="4" t="s">
        <v>2</v>
      </c>
      <c r="B14" s="4" t="s">
        <v>55</v>
      </c>
      <c r="C14" s="4" t="s">
        <v>56</v>
      </c>
      <c r="D14" s="4" t="s">
        <v>35</v>
      </c>
      <c r="E14" s="4" t="s">
        <v>36</v>
      </c>
      <c r="F14" s="4" t="s">
        <v>37</v>
      </c>
      <c r="G14" s="4" t="s">
        <v>38</v>
      </c>
      <c r="H14" s="4" t="s">
        <v>7</v>
      </c>
    </row>
    <row r="15" spans="1:8" x14ac:dyDescent="0.25">
      <c r="A15" s="21">
        <v>1</v>
      </c>
      <c r="B15" s="21" t="s">
        <v>57</v>
      </c>
      <c r="C15" s="21" t="s">
        <v>58</v>
      </c>
      <c r="D15" s="21"/>
      <c r="E15" s="22">
        <v>95</v>
      </c>
      <c r="F15" s="23">
        <v>1375688</v>
      </c>
      <c r="G15" s="23">
        <f>E15*F15</f>
        <v>130690360</v>
      </c>
      <c r="H15" s="22" t="s">
        <v>44</v>
      </c>
    </row>
    <row r="16" spans="1:8" x14ac:dyDescent="0.25">
      <c r="A16" s="21">
        <v>2</v>
      </c>
      <c r="B16" s="21" t="s">
        <v>59</v>
      </c>
      <c r="C16" s="21" t="s">
        <v>60</v>
      </c>
      <c r="D16" s="21"/>
      <c r="E16" s="22">
        <v>18</v>
      </c>
      <c r="F16" s="23">
        <v>1375688</v>
      </c>
      <c r="G16" s="23">
        <f>E16*F16</f>
        <v>24762384</v>
      </c>
      <c r="H16" s="22" t="s">
        <v>61</v>
      </c>
    </row>
    <row r="17" spans="1:8" x14ac:dyDescent="0.25">
      <c r="A17" s="21">
        <v>3</v>
      </c>
      <c r="B17" s="21" t="s">
        <v>62</v>
      </c>
      <c r="C17" s="21" t="s">
        <v>63</v>
      </c>
      <c r="D17" s="21"/>
      <c r="E17" s="22">
        <v>86.9</v>
      </c>
      <c r="F17" s="23">
        <v>1375688</v>
      </c>
      <c r="G17" s="23">
        <f>E17*F17</f>
        <v>119547287.2</v>
      </c>
      <c r="H17" s="22" t="s">
        <v>64</v>
      </c>
    </row>
    <row r="18" spans="1:8" x14ac:dyDescent="0.25">
      <c r="A18" s="24"/>
      <c r="B18" s="24" t="s">
        <v>65</v>
      </c>
      <c r="C18" s="24"/>
      <c r="D18" s="24"/>
      <c r="E18" s="24">
        <f>SUM(E15:E17)</f>
        <v>199.9</v>
      </c>
      <c r="F18" s="24"/>
      <c r="G18" s="25">
        <f>SUM(G15:G17)</f>
        <v>275000031.19999999</v>
      </c>
      <c r="H18" s="24"/>
    </row>
    <row r="19" spans="1:8" ht="15.75" x14ac:dyDescent="0.25">
      <c r="A19" s="14"/>
      <c r="B19" s="14" t="s">
        <v>66</v>
      </c>
      <c r="C19" s="14"/>
      <c r="D19" s="14"/>
      <c r="E19" s="14">
        <f>E11+E18</f>
        <v>596.9</v>
      </c>
      <c r="F19" s="14"/>
      <c r="G19" s="15">
        <f>G11+G18</f>
        <v>700000031.20000005</v>
      </c>
      <c r="H19" s="1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2:G43"/>
  <sheetViews>
    <sheetView topLeftCell="A20" zoomScaleNormal="100" workbookViewId="0">
      <selection activeCell="L14" sqref="L14"/>
    </sheetView>
  </sheetViews>
  <sheetFormatPr defaultColWidth="8.7109375" defaultRowHeight="15" x14ac:dyDescent="0.25"/>
  <cols>
    <col min="1" max="1" width="6" customWidth="1"/>
    <col min="2" max="2" width="40" customWidth="1"/>
    <col min="3" max="3" width="10" customWidth="1"/>
    <col min="4" max="4" width="12" customWidth="1"/>
    <col min="5" max="5" width="18" customWidth="1"/>
    <col min="6" max="6" width="22" customWidth="1"/>
    <col min="7" max="7" width="13.42578125" customWidth="1"/>
  </cols>
  <sheetData>
    <row r="2" spans="1:7" ht="18" x14ac:dyDescent="0.25">
      <c r="A2" s="1" t="s">
        <v>67</v>
      </c>
      <c r="B2" s="1"/>
      <c r="C2" s="1"/>
      <c r="D2" s="1"/>
      <c r="E2" s="1"/>
      <c r="F2" s="1"/>
      <c r="G2" s="1"/>
    </row>
    <row r="3" spans="1:7" x14ac:dyDescent="0.25">
      <c r="A3" s="33"/>
      <c r="B3" s="33"/>
      <c r="C3" s="33"/>
      <c r="D3" s="33"/>
      <c r="E3" s="33"/>
      <c r="F3" s="33"/>
      <c r="G3" s="33"/>
    </row>
    <row r="4" spans="1:7" ht="30" x14ac:dyDescent="0.25">
      <c r="A4" s="34" t="s">
        <v>2</v>
      </c>
      <c r="B4" s="34" t="s">
        <v>68</v>
      </c>
      <c r="C4" s="34" t="s">
        <v>69</v>
      </c>
      <c r="D4" s="34" t="s">
        <v>70</v>
      </c>
      <c r="E4" s="34" t="s">
        <v>71</v>
      </c>
      <c r="F4" s="34" t="s">
        <v>38</v>
      </c>
      <c r="G4" s="34" t="s">
        <v>384</v>
      </c>
    </row>
    <row r="5" spans="1:7" x14ac:dyDescent="0.25">
      <c r="A5" s="41" t="s">
        <v>385</v>
      </c>
      <c r="B5" s="41" t="s">
        <v>386</v>
      </c>
      <c r="C5" s="41"/>
      <c r="D5" s="41"/>
      <c r="E5" s="41"/>
      <c r="F5" s="41"/>
      <c r="G5" s="41"/>
    </row>
    <row r="6" spans="1:7" ht="28.5" x14ac:dyDescent="0.25">
      <c r="A6" s="38">
        <v>1</v>
      </c>
      <c r="B6" s="38" t="s">
        <v>387</v>
      </c>
      <c r="C6" s="38" t="s">
        <v>72</v>
      </c>
      <c r="D6" s="38">
        <v>1</v>
      </c>
      <c r="E6" s="35">
        <v>38000000</v>
      </c>
      <c r="F6" s="35">
        <v>38000000</v>
      </c>
      <c r="G6" s="42"/>
    </row>
    <row r="7" spans="1:7" ht="28.5" x14ac:dyDescent="0.25">
      <c r="A7" s="38">
        <v>2</v>
      </c>
      <c r="B7" s="38" t="s">
        <v>388</v>
      </c>
      <c r="C7" s="38" t="s">
        <v>389</v>
      </c>
      <c r="D7" s="38">
        <v>1</v>
      </c>
      <c r="E7" s="35">
        <v>8500000</v>
      </c>
      <c r="F7" s="35">
        <v>8500000</v>
      </c>
      <c r="G7" s="42"/>
    </row>
    <row r="8" spans="1:7" ht="28.5" x14ac:dyDescent="0.25">
      <c r="A8" s="38">
        <v>3</v>
      </c>
      <c r="B8" s="38" t="s">
        <v>390</v>
      </c>
      <c r="C8" s="38" t="s">
        <v>389</v>
      </c>
      <c r="D8" s="38">
        <v>2</v>
      </c>
      <c r="E8" s="35">
        <v>3500000</v>
      </c>
      <c r="F8" s="35">
        <v>7000000</v>
      </c>
      <c r="G8" s="42"/>
    </row>
    <row r="9" spans="1:7" x14ac:dyDescent="0.25">
      <c r="A9" s="38">
        <v>4</v>
      </c>
      <c r="B9" s="38" t="s">
        <v>391</v>
      </c>
      <c r="C9" s="38" t="s">
        <v>392</v>
      </c>
      <c r="D9" s="38">
        <v>2</v>
      </c>
      <c r="E9" s="35">
        <v>3000000</v>
      </c>
      <c r="F9" s="35">
        <v>6000000</v>
      </c>
      <c r="G9" s="42"/>
    </row>
    <row r="10" spans="1:7" x14ac:dyDescent="0.25">
      <c r="A10" s="38">
        <v>5</v>
      </c>
      <c r="B10" s="38" t="s">
        <v>393</v>
      </c>
      <c r="C10" s="38" t="s">
        <v>394</v>
      </c>
      <c r="D10" s="38">
        <v>2</v>
      </c>
      <c r="E10" s="35">
        <v>3250000</v>
      </c>
      <c r="F10" s="35">
        <v>6500000</v>
      </c>
      <c r="G10" s="42"/>
    </row>
    <row r="11" spans="1:7" x14ac:dyDescent="0.25">
      <c r="A11" s="38">
        <v>6</v>
      </c>
      <c r="B11" s="38" t="s">
        <v>395</v>
      </c>
      <c r="C11" s="38" t="s">
        <v>72</v>
      </c>
      <c r="D11" s="38">
        <v>1</v>
      </c>
      <c r="E11" s="35">
        <v>7000000</v>
      </c>
      <c r="F11" s="35">
        <v>7000000</v>
      </c>
      <c r="G11" s="42"/>
    </row>
    <row r="12" spans="1:7" ht="28.5" x14ac:dyDescent="0.25">
      <c r="A12" s="38">
        <v>7</v>
      </c>
      <c r="B12" s="38" t="s">
        <v>396</v>
      </c>
      <c r="C12" s="38" t="s">
        <v>397</v>
      </c>
      <c r="D12" s="38">
        <v>1</v>
      </c>
      <c r="E12" s="35">
        <v>7000000</v>
      </c>
      <c r="F12" s="35">
        <v>7000000</v>
      </c>
      <c r="G12" s="42"/>
    </row>
    <row r="13" spans="1:7" x14ac:dyDescent="0.25">
      <c r="A13" s="39"/>
      <c r="B13" s="39" t="s">
        <v>398</v>
      </c>
      <c r="C13" s="39"/>
      <c r="D13" s="39"/>
      <c r="E13" s="39"/>
      <c r="F13" s="40">
        <v>80000000</v>
      </c>
      <c r="G13" s="39">
        <v>3.4</v>
      </c>
    </row>
    <row r="14" spans="1:7" x14ac:dyDescent="0.25">
      <c r="A14" s="41" t="s">
        <v>399</v>
      </c>
      <c r="B14" s="41" t="s">
        <v>400</v>
      </c>
      <c r="C14" s="41"/>
      <c r="D14" s="41"/>
      <c r="E14" s="41"/>
      <c r="F14" s="41"/>
      <c r="G14" s="41"/>
    </row>
    <row r="15" spans="1:7" ht="28.5" x14ac:dyDescent="0.25">
      <c r="A15" s="38">
        <v>1</v>
      </c>
      <c r="B15" s="38" t="s">
        <v>401</v>
      </c>
      <c r="C15" s="38" t="s">
        <v>72</v>
      </c>
      <c r="D15" s="38">
        <v>3</v>
      </c>
      <c r="E15" s="35">
        <v>12000000</v>
      </c>
      <c r="F15" s="35">
        <v>36000000</v>
      </c>
      <c r="G15" s="42"/>
    </row>
    <row r="16" spans="1:7" x14ac:dyDescent="0.25">
      <c r="A16" s="38">
        <v>2</v>
      </c>
      <c r="B16" s="38" t="s">
        <v>403</v>
      </c>
      <c r="C16" s="38" t="s">
        <v>72</v>
      </c>
      <c r="D16" s="38">
        <v>3</v>
      </c>
      <c r="E16" s="35">
        <v>1500000</v>
      </c>
      <c r="F16" s="35">
        <v>4500000</v>
      </c>
      <c r="G16" s="42"/>
    </row>
    <row r="17" spans="1:7" ht="28.5" x14ac:dyDescent="0.25">
      <c r="A17" s="38">
        <v>3</v>
      </c>
      <c r="B17" s="38" t="s">
        <v>404</v>
      </c>
      <c r="C17" s="38" t="s">
        <v>72</v>
      </c>
      <c r="D17" s="38">
        <v>3</v>
      </c>
      <c r="E17" s="35">
        <v>1500000</v>
      </c>
      <c r="F17" s="35">
        <v>4500000</v>
      </c>
      <c r="G17" s="42"/>
    </row>
    <row r="18" spans="1:7" x14ac:dyDescent="0.25">
      <c r="A18" s="39"/>
      <c r="B18" s="39" t="s">
        <v>405</v>
      </c>
      <c r="C18" s="39"/>
      <c r="D18" s="39"/>
      <c r="E18" s="39"/>
      <c r="F18" s="40">
        <v>45000000</v>
      </c>
      <c r="G18" s="32" t="s">
        <v>402</v>
      </c>
    </row>
    <row r="19" spans="1:7" x14ac:dyDescent="0.25">
      <c r="A19" s="41" t="s">
        <v>406</v>
      </c>
      <c r="B19" s="41" t="s">
        <v>407</v>
      </c>
      <c r="C19" s="41"/>
      <c r="D19" s="41"/>
      <c r="E19" s="41"/>
      <c r="F19" s="41"/>
      <c r="G19" s="41"/>
    </row>
    <row r="20" spans="1:7" x14ac:dyDescent="0.25">
      <c r="A20" s="38">
        <v>1</v>
      </c>
      <c r="B20" s="38" t="s">
        <v>408</v>
      </c>
      <c r="C20" s="38" t="s">
        <v>389</v>
      </c>
      <c r="D20" s="38">
        <v>1</v>
      </c>
      <c r="E20" s="35">
        <v>4500000</v>
      </c>
      <c r="F20" s="35">
        <v>4500000</v>
      </c>
      <c r="G20" s="42"/>
    </row>
    <row r="21" spans="1:7" ht="28.5" x14ac:dyDescent="0.25">
      <c r="A21" s="38">
        <v>2</v>
      </c>
      <c r="B21" s="38" t="s">
        <v>409</v>
      </c>
      <c r="C21" s="38" t="s">
        <v>389</v>
      </c>
      <c r="D21" s="38">
        <v>1</v>
      </c>
      <c r="E21" s="35">
        <v>3500000</v>
      </c>
      <c r="F21" s="35">
        <v>3500000</v>
      </c>
      <c r="G21" s="42"/>
    </row>
    <row r="22" spans="1:7" ht="28.5" x14ac:dyDescent="0.25">
      <c r="A22" s="38">
        <v>3</v>
      </c>
      <c r="B22" s="38" t="s">
        <v>410</v>
      </c>
      <c r="C22" s="38" t="s">
        <v>389</v>
      </c>
      <c r="D22" s="38">
        <v>2</v>
      </c>
      <c r="E22" s="35">
        <v>2500000</v>
      </c>
      <c r="F22" s="35">
        <v>5000000</v>
      </c>
      <c r="G22" s="42"/>
    </row>
    <row r="23" spans="1:7" ht="28.5" x14ac:dyDescent="0.25">
      <c r="A23" s="38">
        <v>4</v>
      </c>
      <c r="B23" s="38" t="s">
        <v>411</v>
      </c>
      <c r="C23" s="38" t="s">
        <v>74</v>
      </c>
      <c r="D23" s="38">
        <v>1</v>
      </c>
      <c r="E23" s="35">
        <v>3000000</v>
      </c>
      <c r="F23" s="35">
        <v>3000000</v>
      </c>
      <c r="G23" s="42"/>
    </row>
    <row r="24" spans="1:7" x14ac:dyDescent="0.25">
      <c r="A24" s="38">
        <v>5</v>
      </c>
      <c r="B24" s="38" t="s">
        <v>412</v>
      </c>
      <c r="C24" s="38" t="s">
        <v>389</v>
      </c>
      <c r="D24" s="38">
        <v>1</v>
      </c>
      <c r="E24" s="35">
        <v>5000000</v>
      </c>
      <c r="F24" s="35">
        <v>5000000</v>
      </c>
      <c r="G24" s="42"/>
    </row>
    <row r="25" spans="1:7" ht="28.5" x14ac:dyDescent="0.25">
      <c r="A25" s="38">
        <v>6</v>
      </c>
      <c r="B25" s="38" t="s">
        <v>413</v>
      </c>
      <c r="C25" s="38" t="s">
        <v>389</v>
      </c>
      <c r="D25" s="38">
        <v>2</v>
      </c>
      <c r="E25" s="35">
        <v>2000000</v>
      </c>
      <c r="F25" s="35">
        <v>4000000</v>
      </c>
      <c r="G25" s="42"/>
    </row>
    <row r="26" spans="1:7" x14ac:dyDescent="0.25">
      <c r="A26" s="39"/>
      <c r="B26" s="39" t="s">
        <v>414</v>
      </c>
      <c r="C26" s="39"/>
      <c r="D26" s="39"/>
      <c r="E26" s="39"/>
      <c r="F26" s="40">
        <v>25000000</v>
      </c>
      <c r="G26" s="39">
        <v>5.0999999999999996</v>
      </c>
    </row>
    <row r="27" spans="1:7" x14ac:dyDescent="0.25">
      <c r="A27" s="41" t="s">
        <v>415</v>
      </c>
      <c r="B27" s="41" t="s">
        <v>416</v>
      </c>
      <c r="C27" s="41"/>
      <c r="D27" s="41"/>
      <c r="E27" s="41"/>
      <c r="F27" s="41"/>
      <c r="G27" s="41"/>
    </row>
    <row r="28" spans="1:7" ht="28.5" x14ac:dyDescent="0.25">
      <c r="A28" s="38">
        <v>1</v>
      </c>
      <c r="B28" s="38" t="s">
        <v>417</v>
      </c>
      <c r="C28" s="38" t="s">
        <v>397</v>
      </c>
      <c r="D28" s="38">
        <v>1</v>
      </c>
      <c r="E28" s="35">
        <v>12000000</v>
      </c>
      <c r="F28" s="35">
        <v>12000000</v>
      </c>
      <c r="G28" s="42"/>
    </row>
    <row r="29" spans="1:7" x14ac:dyDescent="0.25">
      <c r="A29" s="38">
        <v>2</v>
      </c>
      <c r="B29" s="38" t="s">
        <v>418</v>
      </c>
      <c r="C29" s="38" t="s">
        <v>397</v>
      </c>
      <c r="D29" s="38">
        <v>2</v>
      </c>
      <c r="E29" s="35">
        <v>4000000</v>
      </c>
      <c r="F29" s="35">
        <v>8000000</v>
      </c>
      <c r="G29" s="42"/>
    </row>
    <row r="30" spans="1:7" ht="28.5" x14ac:dyDescent="0.25">
      <c r="A30" s="38">
        <v>3</v>
      </c>
      <c r="B30" s="38" t="s">
        <v>419</v>
      </c>
      <c r="C30" s="38" t="s">
        <v>73</v>
      </c>
      <c r="D30" s="38">
        <v>1</v>
      </c>
      <c r="E30" s="35">
        <v>5000000</v>
      </c>
      <c r="F30" s="35">
        <v>5000000</v>
      </c>
      <c r="G30" s="42"/>
    </row>
    <row r="31" spans="1:7" x14ac:dyDescent="0.25">
      <c r="A31" s="38">
        <v>4</v>
      </c>
      <c r="B31" s="38" t="s">
        <v>420</v>
      </c>
      <c r="C31" s="38" t="s">
        <v>73</v>
      </c>
      <c r="D31" s="38">
        <v>1</v>
      </c>
      <c r="E31" s="35">
        <v>3000000</v>
      </c>
      <c r="F31" s="35">
        <v>3000000</v>
      </c>
      <c r="G31" s="42"/>
    </row>
    <row r="32" spans="1:7" ht="28.5" x14ac:dyDescent="0.25">
      <c r="A32" s="38">
        <v>5</v>
      </c>
      <c r="B32" s="38" t="s">
        <v>421</v>
      </c>
      <c r="C32" s="38" t="s">
        <v>73</v>
      </c>
      <c r="D32" s="38">
        <v>1</v>
      </c>
      <c r="E32" s="35">
        <v>2000000</v>
      </c>
      <c r="F32" s="35">
        <v>2000000</v>
      </c>
      <c r="G32" s="42"/>
    </row>
    <row r="33" spans="1:7" x14ac:dyDescent="0.25">
      <c r="A33" s="39"/>
      <c r="B33" s="39" t="s">
        <v>422</v>
      </c>
      <c r="C33" s="39"/>
      <c r="D33" s="39"/>
      <c r="E33" s="39"/>
      <c r="F33" s="40">
        <v>30000000</v>
      </c>
      <c r="G33" s="39">
        <v>2.1</v>
      </c>
    </row>
    <row r="34" spans="1:7" x14ac:dyDescent="0.25">
      <c r="A34" s="41" t="s">
        <v>423</v>
      </c>
      <c r="B34" s="41" t="s">
        <v>424</v>
      </c>
      <c r="C34" s="41"/>
      <c r="D34" s="41"/>
      <c r="E34" s="41"/>
      <c r="F34" s="41"/>
      <c r="G34" s="41"/>
    </row>
    <row r="35" spans="1:7" ht="28.5" x14ac:dyDescent="0.25">
      <c r="A35" s="38">
        <v>1</v>
      </c>
      <c r="B35" s="38" t="s">
        <v>425</v>
      </c>
      <c r="C35" s="38" t="s">
        <v>72</v>
      </c>
      <c r="D35" s="38">
        <v>2</v>
      </c>
      <c r="E35" s="35">
        <v>6000000</v>
      </c>
      <c r="F35" s="35">
        <v>12000000</v>
      </c>
      <c r="G35" s="42"/>
    </row>
    <row r="36" spans="1:7" ht="28.5" x14ac:dyDescent="0.25">
      <c r="A36" s="38">
        <v>2</v>
      </c>
      <c r="B36" s="38" t="s">
        <v>427</v>
      </c>
      <c r="C36" s="38" t="s">
        <v>389</v>
      </c>
      <c r="D36" s="38">
        <v>1</v>
      </c>
      <c r="E36" s="35">
        <v>3000000</v>
      </c>
      <c r="F36" s="35">
        <v>3000000</v>
      </c>
      <c r="G36" s="42"/>
    </row>
    <row r="37" spans="1:7" x14ac:dyDescent="0.25">
      <c r="A37" s="39"/>
      <c r="B37" s="39" t="s">
        <v>428</v>
      </c>
      <c r="C37" s="39"/>
      <c r="D37" s="39"/>
      <c r="E37" s="39"/>
      <c r="F37" s="40">
        <v>15000000</v>
      </c>
      <c r="G37" s="32" t="s">
        <v>426</v>
      </c>
    </row>
    <row r="38" spans="1:7" x14ac:dyDescent="0.25">
      <c r="A38" s="41" t="s">
        <v>429</v>
      </c>
      <c r="B38" s="41" t="s">
        <v>430</v>
      </c>
      <c r="C38" s="41"/>
      <c r="D38" s="41"/>
      <c r="E38" s="41"/>
      <c r="F38" s="41"/>
      <c r="G38" s="41"/>
    </row>
    <row r="39" spans="1:7" ht="28.5" x14ac:dyDescent="0.25">
      <c r="A39" s="38">
        <v>1</v>
      </c>
      <c r="B39" s="38" t="s">
        <v>431</v>
      </c>
      <c r="C39" s="38" t="s">
        <v>389</v>
      </c>
      <c r="D39" s="38">
        <v>2</v>
      </c>
      <c r="E39" s="35">
        <v>1500000</v>
      </c>
      <c r="F39" s="35">
        <v>3000000</v>
      </c>
      <c r="G39" s="42"/>
    </row>
    <row r="40" spans="1:7" x14ac:dyDescent="0.25">
      <c r="A40" s="38">
        <v>2</v>
      </c>
      <c r="B40" s="38" t="s">
        <v>432</v>
      </c>
      <c r="C40" s="38" t="s">
        <v>389</v>
      </c>
      <c r="D40" s="38">
        <v>5</v>
      </c>
      <c r="E40" s="35">
        <v>200000</v>
      </c>
      <c r="F40" s="35">
        <v>1000000</v>
      </c>
      <c r="G40" s="42"/>
    </row>
    <row r="41" spans="1:7" ht="28.5" x14ac:dyDescent="0.25">
      <c r="A41" s="38">
        <v>3</v>
      </c>
      <c r="B41" s="38" t="s">
        <v>433</v>
      </c>
      <c r="C41" s="38" t="s">
        <v>74</v>
      </c>
      <c r="D41" s="38">
        <v>1</v>
      </c>
      <c r="E41" s="35">
        <v>1000000</v>
      </c>
      <c r="F41" s="35">
        <v>1000000</v>
      </c>
      <c r="G41" s="42"/>
    </row>
    <row r="42" spans="1:7" x14ac:dyDescent="0.25">
      <c r="A42" s="39"/>
      <c r="B42" s="39" t="s">
        <v>434</v>
      </c>
      <c r="C42" s="39"/>
      <c r="D42" s="39"/>
      <c r="E42" s="39"/>
      <c r="F42" s="40">
        <v>5000000</v>
      </c>
      <c r="G42" s="39">
        <v>3.4</v>
      </c>
    </row>
    <row r="43" spans="1:7" ht="15.75" x14ac:dyDescent="0.25">
      <c r="A43" s="36"/>
      <c r="B43" s="36" t="s">
        <v>75</v>
      </c>
      <c r="C43" s="36"/>
      <c r="D43" s="36"/>
      <c r="E43" s="36"/>
      <c r="F43" s="37">
        <v>200000000</v>
      </c>
      <c r="G43" s="36"/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E18"/>
  <sheetViews>
    <sheetView zoomScaleNormal="100" workbookViewId="0">
      <selection sqref="A1:E1"/>
    </sheetView>
  </sheetViews>
  <sheetFormatPr defaultColWidth="8.7109375" defaultRowHeight="15" x14ac:dyDescent="0.25"/>
  <cols>
    <col min="1" max="1" width="6" customWidth="1"/>
    <col min="2" max="2" width="42" customWidth="1"/>
    <col min="3" max="3" width="15" customWidth="1"/>
    <col min="4" max="4" width="18" customWidth="1"/>
    <col min="5" max="5" width="22" customWidth="1"/>
  </cols>
  <sheetData>
    <row r="1" spans="1:5" ht="18" x14ac:dyDescent="0.25">
      <c r="A1" s="1" t="s">
        <v>76</v>
      </c>
      <c r="B1" s="1"/>
      <c r="C1" s="1"/>
      <c r="D1" s="1"/>
      <c r="E1" s="1"/>
    </row>
    <row r="3" spans="1:5" x14ac:dyDescent="0.25">
      <c r="A3" s="4" t="s">
        <v>2</v>
      </c>
      <c r="B3" s="4" t="s">
        <v>77</v>
      </c>
      <c r="C3" s="4" t="s">
        <v>69</v>
      </c>
      <c r="D3" s="4" t="s">
        <v>78</v>
      </c>
      <c r="E3" s="4" t="s">
        <v>38</v>
      </c>
    </row>
    <row r="4" spans="1:5" x14ac:dyDescent="0.25">
      <c r="A4" s="26" t="s">
        <v>8</v>
      </c>
      <c r="B4" s="26" t="s">
        <v>79</v>
      </c>
      <c r="C4" s="26"/>
      <c r="D4" s="27"/>
      <c r="E4" s="27"/>
    </row>
    <row r="5" spans="1:5" x14ac:dyDescent="0.25">
      <c r="A5" s="5" t="s">
        <v>80</v>
      </c>
      <c r="B5" s="5" t="s">
        <v>81</v>
      </c>
      <c r="C5" s="5" t="s">
        <v>82</v>
      </c>
      <c r="D5" s="7">
        <v>1000000</v>
      </c>
      <c r="E5" s="7">
        <v>10000000</v>
      </c>
    </row>
    <row r="6" spans="1:5" x14ac:dyDescent="0.25">
      <c r="A6" s="5" t="s">
        <v>83</v>
      </c>
      <c r="B6" s="5" t="s">
        <v>84</v>
      </c>
      <c r="C6" s="5" t="s">
        <v>72</v>
      </c>
      <c r="D6" s="7">
        <v>2000000</v>
      </c>
      <c r="E6" s="7">
        <v>2000000</v>
      </c>
    </row>
    <row r="7" spans="1:5" x14ac:dyDescent="0.25">
      <c r="A7" s="8"/>
      <c r="B7" s="8" t="s">
        <v>85</v>
      </c>
      <c r="C7" s="8"/>
      <c r="D7" s="9"/>
      <c r="E7" s="9">
        <f>SUM(E5:E6)</f>
        <v>12000000</v>
      </c>
    </row>
    <row r="8" spans="1:5" x14ac:dyDescent="0.25">
      <c r="A8" s="26" t="s">
        <v>18</v>
      </c>
      <c r="B8" s="26" t="s">
        <v>86</v>
      </c>
      <c r="C8" s="26"/>
      <c r="D8" s="27"/>
      <c r="E8" s="27"/>
    </row>
    <row r="9" spans="1:5" x14ac:dyDescent="0.25">
      <c r="A9" s="5" t="s">
        <v>80</v>
      </c>
      <c r="B9" s="5" t="s">
        <v>87</v>
      </c>
      <c r="C9" s="5" t="s">
        <v>88</v>
      </c>
      <c r="D9" s="7">
        <v>1000000</v>
      </c>
      <c r="E9" s="7">
        <v>6000000</v>
      </c>
    </row>
    <row r="10" spans="1:5" x14ac:dyDescent="0.25">
      <c r="A10" s="5" t="s">
        <v>83</v>
      </c>
      <c r="B10" s="5" t="s">
        <v>89</v>
      </c>
      <c r="C10" s="5" t="s">
        <v>72</v>
      </c>
      <c r="D10" s="7">
        <v>2000000</v>
      </c>
      <c r="E10" s="7">
        <v>2000000</v>
      </c>
    </row>
    <row r="11" spans="1:5" x14ac:dyDescent="0.25">
      <c r="A11" s="8"/>
      <c r="B11" s="8" t="s">
        <v>90</v>
      </c>
      <c r="C11" s="8"/>
      <c r="D11" s="9"/>
      <c r="E11" s="9">
        <f>SUM(E9:E10)</f>
        <v>8000000</v>
      </c>
    </row>
    <row r="12" spans="1:5" x14ac:dyDescent="0.25">
      <c r="A12" s="26" t="s">
        <v>21</v>
      </c>
      <c r="B12" s="26" t="s">
        <v>91</v>
      </c>
      <c r="C12" s="26"/>
      <c r="D12" s="27"/>
      <c r="E12" s="27"/>
    </row>
    <row r="13" spans="1:5" x14ac:dyDescent="0.25">
      <c r="A13" s="5" t="s">
        <v>80</v>
      </c>
      <c r="B13" s="5" t="s">
        <v>92</v>
      </c>
      <c r="C13" s="5" t="s">
        <v>93</v>
      </c>
      <c r="D13" s="7">
        <v>16000000</v>
      </c>
      <c r="E13" s="7">
        <v>16000000</v>
      </c>
    </row>
    <row r="14" spans="1:5" x14ac:dyDescent="0.25">
      <c r="A14" s="5" t="s">
        <v>83</v>
      </c>
      <c r="B14" s="5" t="s">
        <v>94</v>
      </c>
      <c r="C14" s="5" t="s">
        <v>73</v>
      </c>
      <c r="D14" s="7">
        <v>14000000</v>
      </c>
      <c r="E14" s="7">
        <v>14000000</v>
      </c>
    </row>
    <row r="15" spans="1:5" x14ac:dyDescent="0.25">
      <c r="A15" s="5" t="s">
        <v>95</v>
      </c>
      <c r="B15" s="5" t="s">
        <v>96</v>
      </c>
      <c r="C15" s="5" t="s">
        <v>88</v>
      </c>
      <c r="D15" s="7">
        <v>3333333</v>
      </c>
      <c r="E15" s="7">
        <v>20000000</v>
      </c>
    </row>
    <row r="16" spans="1:5" x14ac:dyDescent="0.25">
      <c r="A16" s="5" t="s">
        <v>97</v>
      </c>
      <c r="B16" s="5" t="s">
        <v>98</v>
      </c>
      <c r="C16" s="5" t="s">
        <v>73</v>
      </c>
      <c r="D16" s="7">
        <v>30000000</v>
      </c>
      <c r="E16" s="7">
        <v>30000000</v>
      </c>
    </row>
    <row r="17" spans="1:5" x14ac:dyDescent="0.25">
      <c r="A17" s="8"/>
      <c r="B17" s="8" t="s">
        <v>99</v>
      </c>
      <c r="C17" s="8"/>
      <c r="D17" s="9"/>
      <c r="E17" s="9">
        <f>SUM(E13:E16)</f>
        <v>80000000</v>
      </c>
    </row>
    <row r="18" spans="1:5" ht="15.75" x14ac:dyDescent="0.25">
      <c r="A18" s="14"/>
      <c r="B18" s="14" t="s">
        <v>100</v>
      </c>
      <c r="C18" s="14"/>
      <c r="D18" s="14"/>
      <c r="E18" s="15">
        <f>E7+E11+E17</f>
        <v>100000000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H104"/>
  <sheetViews>
    <sheetView tabSelected="1" topLeftCell="A58" zoomScaleNormal="100" workbookViewId="0">
      <selection activeCell="L65" sqref="L65"/>
    </sheetView>
  </sheetViews>
  <sheetFormatPr defaultColWidth="8.7109375" defaultRowHeight="15" x14ac:dyDescent="0.25"/>
  <cols>
    <col min="1" max="1" width="8" customWidth="1"/>
    <col min="2" max="2" width="45" customWidth="1"/>
    <col min="3" max="3" width="25" customWidth="1"/>
    <col min="4" max="4" width="28" customWidth="1"/>
    <col min="5" max="5" width="12" customWidth="1"/>
    <col min="6" max="8" width="18" customWidth="1"/>
  </cols>
  <sheetData>
    <row r="1" spans="1:8" ht="18" x14ac:dyDescent="0.25">
      <c r="A1" s="1" t="s">
        <v>101</v>
      </c>
      <c r="B1" s="1"/>
      <c r="C1" s="1"/>
      <c r="D1" s="1"/>
      <c r="E1" s="1"/>
      <c r="F1" s="1"/>
      <c r="G1" s="1"/>
      <c r="H1" s="1"/>
    </row>
    <row r="3" spans="1:8" x14ac:dyDescent="0.25">
      <c r="A3" s="4" t="s">
        <v>102</v>
      </c>
      <c r="B3" s="4" t="s">
        <v>103</v>
      </c>
      <c r="C3" s="4" t="s">
        <v>104</v>
      </c>
      <c r="D3" s="4" t="s">
        <v>105</v>
      </c>
      <c r="E3" s="4" t="s">
        <v>106</v>
      </c>
      <c r="F3" s="4" t="s">
        <v>71</v>
      </c>
      <c r="G3" s="4" t="s">
        <v>107</v>
      </c>
      <c r="H3" s="4" t="s">
        <v>108</v>
      </c>
    </row>
    <row r="4" spans="1:8" x14ac:dyDescent="0.25">
      <c r="A4" s="26" t="s">
        <v>80</v>
      </c>
      <c r="B4" s="26" t="s">
        <v>109</v>
      </c>
      <c r="C4" s="26"/>
      <c r="D4" s="26"/>
      <c r="E4" s="28"/>
      <c r="F4" s="27"/>
      <c r="G4" s="27"/>
      <c r="H4" s="27"/>
    </row>
    <row r="5" spans="1:8" ht="42.75" x14ac:dyDescent="0.25">
      <c r="A5" s="5" t="s">
        <v>110</v>
      </c>
      <c r="B5" s="5" t="s">
        <v>111</v>
      </c>
      <c r="C5" s="5" t="s">
        <v>112</v>
      </c>
      <c r="D5" s="5" t="s">
        <v>39</v>
      </c>
      <c r="E5" s="6">
        <v>4.5</v>
      </c>
      <c r="F5" s="7">
        <v>800000</v>
      </c>
      <c r="G5" s="7">
        <f t="shared" ref="G5:G10" si="0">E5*F5</f>
        <v>3600000</v>
      </c>
      <c r="H5" s="7">
        <v>3333333.3333333302</v>
      </c>
    </row>
    <row r="6" spans="1:8" ht="42.75" x14ac:dyDescent="0.25">
      <c r="A6" s="5" t="s">
        <v>113</v>
      </c>
      <c r="B6" s="5" t="s">
        <v>114</v>
      </c>
      <c r="C6" s="5" t="s">
        <v>115</v>
      </c>
      <c r="D6" s="5" t="s">
        <v>39</v>
      </c>
      <c r="E6" s="6">
        <v>4.5</v>
      </c>
      <c r="F6" s="7">
        <v>800000</v>
      </c>
      <c r="G6" s="7">
        <f t="shared" si="0"/>
        <v>3600000</v>
      </c>
      <c r="H6" s="7"/>
    </row>
    <row r="7" spans="1:8" ht="42.75" x14ac:dyDescent="0.25">
      <c r="A7" s="5" t="s">
        <v>116</v>
      </c>
      <c r="B7" s="5" t="s">
        <v>117</v>
      </c>
      <c r="C7" s="5" t="s">
        <v>118</v>
      </c>
      <c r="D7" s="5" t="s">
        <v>39</v>
      </c>
      <c r="E7" s="6">
        <v>4.5</v>
      </c>
      <c r="F7" s="7">
        <v>800000</v>
      </c>
      <c r="G7" s="7">
        <f t="shared" si="0"/>
        <v>3600000</v>
      </c>
      <c r="H7" s="7">
        <v>3333333.3333333302</v>
      </c>
    </row>
    <row r="8" spans="1:8" ht="25.5" x14ac:dyDescent="0.25">
      <c r="A8" s="29" t="s">
        <v>119</v>
      </c>
      <c r="B8" s="29" t="s">
        <v>120</v>
      </c>
      <c r="C8" s="29" t="s">
        <v>121</v>
      </c>
      <c r="D8" s="29" t="s">
        <v>59</v>
      </c>
      <c r="E8" s="30">
        <v>5</v>
      </c>
      <c r="F8" s="31">
        <v>1375688</v>
      </c>
      <c r="G8" s="31">
        <f t="shared" si="0"/>
        <v>6878440</v>
      </c>
      <c r="H8" s="31">
        <v>2000000</v>
      </c>
    </row>
    <row r="9" spans="1:8" ht="42.75" x14ac:dyDescent="0.25">
      <c r="A9" s="5" t="s">
        <v>122</v>
      </c>
      <c r="B9" s="5" t="s">
        <v>123</v>
      </c>
      <c r="C9" s="5" t="s">
        <v>124</v>
      </c>
      <c r="D9" s="5" t="s">
        <v>45</v>
      </c>
      <c r="E9" s="6">
        <v>17.5</v>
      </c>
      <c r="F9" s="7">
        <v>800000</v>
      </c>
      <c r="G9" s="7">
        <f t="shared" si="0"/>
        <v>14000000</v>
      </c>
      <c r="H9" s="7">
        <v>3333333.3333333302</v>
      </c>
    </row>
    <row r="10" spans="1:8" ht="42.75" x14ac:dyDescent="0.25">
      <c r="A10" s="5" t="s">
        <v>125</v>
      </c>
      <c r="B10" s="5" t="s">
        <v>126</v>
      </c>
      <c r="C10" s="5" t="s">
        <v>127</v>
      </c>
      <c r="D10" s="5" t="s">
        <v>42</v>
      </c>
      <c r="E10" s="6">
        <v>4</v>
      </c>
      <c r="F10" s="7">
        <v>1200000</v>
      </c>
      <c r="G10" s="7">
        <f t="shared" si="0"/>
        <v>4800000</v>
      </c>
      <c r="H10" s="7"/>
    </row>
    <row r="11" spans="1:8" x14ac:dyDescent="0.25">
      <c r="A11" s="26" t="s">
        <v>83</v>
      </c>
      <c r="B11" s="26" t="s">
        <v>128</v>
      </c>
      <c r="C11" s="26"/>
      <c r="D11" s="26"/>
      <c r="E11" s="28"/>
      <c r="F11" s="27"/>
      <c r="G11" s="27"/>
      <c r="H11" s="27"/>
    </row>
    <row r="12" spans="1:8" ht="42.75" x14ac:dyDescent="0.25">
      <c r="A12" s="5" t="s">
        <v>129</v>
      </c>
      <c r="B12" s="5" t="s">
        <v>130</v>
      </c>
      <c r="C12" s="5" t="s">
        <v>131</v>
      </c>
      <c r="D12" s="5" t="s">
        <v>45</v>
      </c>
      <c r="E12" s="6">
        <v>3.5</v>
      </c>
      <c r="F12" s="7">
        <v>800000</v>
      </c>
      <c r="G12" s="7">
        <f>E12*F12</f>
        <v>2800000</v>
      </c>
      <c r="H12" s="7">
        <v>15000000</v>
      </c>
    </row>
    <row r="13" spans="1:8" ht="42.75" x14ac:dyDescent="0.25">
      <c r="A13" s="5" t="s">
        <v>132</v>
      </c>
      <c r="B13" s="5" t="s">
        <v>133</v>
      </c>
      <c r="C13" s="5" t="s">
        <v>134</v>
      </c>
      <c r="D13" s="5" t="s">
        <v>45</v>
      </c>
      <c r="E13" s="6">
        <v>3.5</v>
      </c>
      <c r="F13" s="7">
        <v>800000</v>
      </c>
      <c r="G13" s="7">
        <f>E13*F13</f>
        <v>2800000</v>
      </c>
      <c r="H13" s="7"/>
    </row>
    <row r="14" spans="1:8" x14ac:dyDescent="0.25">
      <c r="A14" s="8" t="s">
        <v>135</v>
      </c>
      <c r="B14" s="8" t="s">
        <v>136</v>
      </c>
      <c r="C14" s="8"/>
      <c r="D14" s="8"/>
      <c r="E14" s="11"/>
      <c r="F14" s="9"/>
      <c r="G14" s="9"/>
      <c r="H14" s="9"/>
    </row>
    <row r="15" spans="1:8" ht="28.5" x14ac:dyDescent="0.25">
      <c r="A15" s="5" t="s">
        <v>137</v>
      </c>
      <c r="B15" s="5" t="s">
        <v>138</v>
      </c>
      <c r="C15" s="5" t="s">
        <v>139</v>
      </c>
      <c r="D15" s="5" t="s">
        <v>45</v>
      </c>
      <c r="E15" s="6">
        <v>3.5</v>
      </c>
      <c r="F15" s="7">
        <v>800000</v>
      </c>
      <c r="G15" s="7">
        <f>E15*F15</f>
        <v>2800000</v>
      </c>
      <c r="H15" s="7">
        <v>1000000</v>
      </c>
    </row>
    <row r="16" spans="1:8" ht="42.75" x14ac:dyDescent="0.25">
      <c r="A16" s="5" t="s">
        <v>140</v>
      </c>
      <c r="B16" s="5" t="s">
        <v>141</v>
      </c>
      <c r="C16" s="5" t="s">
        <v>142</v>
      </c>
      <c r="D16" s="5" t="s">
        <v>45</v>
      </c>
      <c r="E16" s="6">
        <v>3.5</v>
      </c>
      <c r="F16" s="7">
        <v>800000</v>
      </c>
      <c r="G16" s="7">
        <f>E16*F16</f>
        <v>2800000</v>
      </c>
      <c r="H16" s="7"/>
    </row>
    <row r="17" spans="1:8" ht="42.75" x14ac:dyDescent="0.25">
      <c r="A17" s="5" t="s">
        <v>143</v>
      </c>
      <c r="B17" s="5" t="s">
        <v>144</v>
      </c>
      <c r="C17" s="5" t="s">
        <v>145</v>
      </c>
      <c r="D17" s="5" t="s">
        <v>45</v>
      </c>
      <c r="E17" s="6">
        <v>3.5</v>
      </c>
      <c r="F17" s="7">
        <v>800000</v>
      </c>
      <c r="G17" s="7">
        <f>E17*F17</f>
        <v>2800000</v>
      </c>
      <c r="H17" s="7"/>
    </row>
    <row r="18" spans="1:8" x14ac:dyDescent="0.25">
      <c r="A18" s="8" t="s">
        <v>146</v>
      </c>
      <c r="B18" s="8" t="s">
        <v>147</v>
      </c>
      <c r="C18" s="8"/>
      <c r="D18" s="8"/>
      <c r="E18" s="11"/>
      <c r="F18" s="9"/>
      <c r="G18" s="9"/>
      <c r="H18" s="9"/>
    </row>
    <row r="19" spans="1:8" ht="25.5" x14ac:dyDescent="0.25">
      <c r="A19" s="29" t="s">
        <v>148</v>
      </c>
      <c r="B19" s="29" t="s">
        <v>149</v>
      </c>
      <c r="C19" s="29" t="s">
        <v>150</v>
      </c>
      <c r="D19" s="29" t="s">
        <v>59</v>
      </c>
      <c r="E19" s="30">
        <v>1</v>
      </c>
      <c r="F19" s="31">
        <v>1375688</v>
      </c>
      <c r="G19" s="31">
        <f t="shared" ref="G19:G26" si="1">E19*F19</f>
        <v>1375688</v>
      </c>
      <c r="H19" s="31">
        <v>1000000</v>
      </c>
    </row>
    <row r="20" spans="1:8" x14ac:dyDescent="0.25">
      <c r="A20" s="29" t="s">
        <v>151</v>
      </c>
      <c r="B20" s="29" t="s">
        <v>152</v>
      </c>
      <c r="C20" s="29" t="s">
        <v>153</v>
      </c>
      <c r="D20" s="29" t="s">
        <v>59</v>
      </c>
      <c r="E20" s="30">
        <v>1</v>
      </c>
      <c r="F20" s="31">
        <v>1375688</v>
      </c>
      <c r="G20" s="31">
        <f t="shared" si="1"/>
        <v>1375688</v>
      </c>
      <c r="H20" s="31"/>
    </row>
    <row r="21" spans="1:8" x14ac:dyDescent="0.25">
      <c r="A21" s="29" t="s">
        <v>154</v>
      </c>
      <c r="B21" s="29" t="s">
        <v>155</v>
      </c>
      <c r="C21" s="29" t="s">
        <v>156</v>
      </c>
      <c r="D21" s="29" t="s">
        <v>59</v>
      </c>
      <c r="E21" s="30">
        <v>1</v>
      </c>
      <c r="F21" s="31">
        <v>1375688</v>
      </c>
      <c r="G21" s="31">
        <f t="shared" si="1"/>
        <v>1375688</v>
      </c>
      <c r="H21" s="31"/>
    </row>
    <row r="22" spans="1:8" ht="25.5" x14ac:dyDescent="0.25">
      <c r="A22" s="29" t="s">
        <v>157</v>
      </c>
      <c r="B22" s="29" t="s">
        <v>158</v>
      </c>
      <c r="C22" s="29" t="s">
        <v>159</v>
      </c>
      <c r="D22" s="29" t="s">
        <v>59</v>
      </c>
      <c r="E22" s="30">
        <v>1</v>
      </c>
      <c r="F22" s="31">
        <v>1375688</v>
      </c>
      <c r="G22" s="31">
        <f t="shared" si="1"/>
        <v>1375688</v>
      </c>
      <c r="H22" s="31"/>
    </row>
    <row r="23" spans="1:8" ht="25.5" x14ac:dyDescent="0.25">
      <c r="A23" s="29" t="s">
        <v>160</v>
      </c>
      <c r="B23" s="29" t="s">
        <v>161</v>
      </c>
      <c r="C23" s="29" t="s">
        <v>162</v>
      </c>
      <c r="D23" s="29" t="s">
        <v>59</v>
      </c>
      <c r="E23" s="30">
        <v>1</v>
      </c>
      <c r="F23" s="31">
        <v>1375688</v>
      </c>
      <c r="G23" s="31">
        <f t="shared" si="1"/>
        <v>1375688</v>
      </c>
      <c r="H23" s="31"/>
    </row>
    <row r="24" spans="1:8" ht="38.25" x14ac:dyDescent="0.25">
      <c r="A24" s="29" t="s">
        <v>163</v>
      </c>
      <c r="B24" s="29" t="s">
        <v>164</v>
      </c>
      <c r="C24" s="29" t="s">
        <v>165</v>
      </c>
      <c r="D24" s="29" t="s">
        <v>59</v>
      </c>
      <c r="E24" s="30">
        <v>1</v>
      </c>
      <c r="F24" s="31">
        <v>1375688</v>
      </c>
      <c r="G24" s="31">
        <f t="shared" si="1"/>
        <v>1375688</v>
      </c>
      <c r="H24" s="31"/>
    </row>
    <row r="25" spans="1:8" ht="25.5" x14ac:dyDescent="0.25">
      <c r="A25" s="29" t="s">
        <v>166</v>
      </c>
      <c r="B25" s="29" t="s">
        <v>167</v>
      </c>
      <c r="C25" s="29" t="s">
        <v>168</v>
      </c>
      <c r="D25" s="29" t="s">
        <v>59</v>
      </c>
      <c r="E25" s="30">
        <v>1</v>
      </c>
      <c r="F25" s="31">
        <v>1375688</v>
      </c>
      <c r="G25" s="31">
        <f t="shared" si="1"/>
        <v>1375688</v>
      </c>
      <c r="H25" s="31"/>
    </row>
    <row r="26" spans="1:8" ht="25.5" x14ac:dyDescent="0.25">
      <c r="A26" s="29" t="s">
        <v>169</v>
      </c>
      <c r="B26" s="29" t="s">
        <v>170</v>
      </c>
      <c r="C26" s="29" t="s">
        <v>171</v>
      </c>
      <c r="D26" s="29" t="s">
        <v>59</v>
      </c>
      <c r="E26" s="30">
        <v>1</v>
      </c>
      <c r="F26" s="31">
        <v>1375688</v>
      </c>
      <c r="G26" s="31">
        <f t="shared" si="1"/>
        <v>1375688</v>
      </c>
      <c r="H26" s="31"/>
    </row>
    <row r="27" spans="1:8" x14ac:dyDescent="0.25">
      <c r="A27" s="8" t="s">
        <v>172</v>
      </c>
      <c r="B27" s="8" t="s">
        <v>173</v>
      </c>
      <c r="C27" s="8"/>
      <c r="D27" s="8"/>
      <c r="E27" s="11"/>
      <c r="F27" s="9"/>
      <c r="G27" s="9"/>
      <c r="H27" s="9"/>
    </row>
    <row r="28" spans="1:8" ht="25.5" x14ac:dyDescent="0.25">
      <c r="A28" s="29" t="s">
        <v>174</v>
      </c>
      <c r="B28" s="29" t="s">
        <v>175</v>
      </c>
      <c r="C28" s="29" t="s">
        <v>176</v>
      </c>
      <c r="D28" s="29" t="s">
        <v>59</v>
      </c>
      <c r="E28" s="30">
        <v>1</v>
      </c>
      <c r="F28" s="31">
        <v>1375688</v>
      </c>
      <c r="G28" s="31">
        <f t="shared" ref="G28:G37" si="2">E28*F28</f>
        <v>1375688</v>
      </c>
      <c r="H28" s="31">
        <v>1000000</v>
      </c>
    </row>
    <row r="29" spans="1:8" ht="25.5" x14ac:dyDescent="0.25">
      <c r="A29" s="29" t="s">
        <v>177</v>
      </c>
      <c r="B29" s="29" t="s">
        <v>178</v>
      </c>
      <c r="C29" s="29" t="s">
        <v>176</v>
      </c>
      <c r="D29" s="29" t="s">
        <v>59</v>
      </c>
      <c r="E29" s="30">
        <v>1</v>
      </c>
      <c r="F29" s="31">
        <v>1375688</v>
      </c>
      <c r="G29" s="31">
        <f t="shared" si="2"/>
        <v>1375688</v>
      </c>
      <c r="H29" s="31"/>
    </row>
    <row r="30" spans="1:8" ht="25.5" x14ac:dyDescent="0.25">
      <c r="A30" s="29" t="s">
        <v>179</v>
      </c>
      <c r="B30" s="29" t="s">
        <v>180</v>
      </c>
      <c r="C30" s="29" t="s">
        <v>176</v>
      </c>
      <c r="D30" s="29" t="s">
        <v>59</v>
      </c>
      <c r="E30" s="30">
        <v>1</v>
      </c>
      <c r="F30" s="31">
        <v>1375688</v>
      </c>
      <c r="G30" s="31">
        <f t="shared" si="2"/>
        <v>1375688</v>
      </c>
      <c r="H30" s="31"/>
    </row>
    <row r="31" spans="1:8" ht="25.5" x14ac:dyDescent="0.25">
      <c r="A31" s="29" t="s">
        <v>181</v>
      </c>
      <c r="B31" s="29" t="s">
        <v>182</v>
      </c>
      <c r="C31" s="29" t="s">
        <v>176</v>
      </c>
      <c r="D31" s="29" t="s">
        <v>59</v>
      </c>
      <c r="E31" s="30">
        <v>1</v>
      </c>
      <c r="F31" s="31">
        <v>1375688</v>
      </c>
      <c r="G31" s="31">
        <f t="shared" si="2"/>
        <v>1375688</v>
      </c>
      <c r="H31" s="31"/>
    </row>
    <row r="32" spans="1:8" ht="25.5" x14ac:dyDescent="0.25">
      <c r="A32" s="29" t="s">
        <v>183</v>
      </c>
      <c r="B32" s="29" t="s">
        <v>184</v>
      </c>
      <c r="C32" s="29" t="s">
        <v>176</v>
      </c>
      <c r="D32" s="29" t="s">
        <v>59</v>
      </c>
      <c r="E32" s="30">
        <v>1</v>
      </c>
      <c r="F32" s="31">
        <v>1375688</v>
      </c>
      <c r="G32" s="31">
        <f t="shared" si="2"/>
        <v>1375688</v>
      </c>
      <c r="H32" s="31"/>
    </row>
    <row r="33" spans="1:8" ht="42.75" x14ac:dyDescent="0.25">
      <c r="A33" s="5" t="s">
        <v>185</v>
      </c>
      <c r="B33" s="5" t="s">
        <v>186</v>
      </c>
      <c r="C33" s="5" t="s">
        <v>176</v>
      </c>
      <c r="D33" s="5" t="s">
        <v>45</v>
      </c>
      <c r="E33" s="6">
        <v>1.5</v>
      </c>
      <c r="F33" s="7">
        <v>800000</v>
      </c>
      <c r="G33" s="7">
        <f t="shared" si="2"/>
        <v>1200000</v>
      </c>
      <c r="H33" s="7"/>
    </row>
    <row r="34" spans="1:8" ht="42.75" x14ac:dyDescent="0.25">
      <c r="A34" s="5" t="s">
        <v>187</v>
      </c>
      <c r="B34" s="5" t="s">
        <v>188</v>
      </c>
      <c r="C34" s="5" t="s">
        <v>176</v>
      </c>
      <c r="D34" s="5" t="s">
        <v>45</v>
      </c>
      <c r="E34" s="6">
        <v>1.5</v>
      </c>
      <c r="F34" s="7">
        <v>800000</v>
      </c>
      <c r="G34" s="7">
        <f t="shared" si="2"/>
        <v>1200000</v>
      </c>
      <c r="H34" s="7"/>
    </row>
    <row r="35" spans="1:8" ht="42.75" x14ac:dyDescent="0.25">
      <c r="A35" s="5" t="s">
        <v>189</v>
      </c>
      <c r="B35" s="5" t="s">
        <v>190</v>
      </c>
      <c r="C35" s="5" t="s">
        <v>176</v>
      </c>
      <c r="D35" s="5" t="s">
        <v>45</v>
      </c>
      <c r="E35" s="6">
        <v>1.5</v>
      </c>
      <c r="F35" s="7">
        <v>800000</v>
      </c>
      <c r="G35" s="7">
        <f t="shared" si="2"/>
        <v>1200000</v>
      </c>
      <c r="H35" s="7"/>
    </row>
    <row r="36" spans="1:8" ht="42.75" x14ac:dyDescent="0.25">
      <c r="A36" s="5" t="s">
        <v>191</v>
      </c>
      <c r="B36" s="5" t="s">
        <v>192</v>
      </c>
      <c r="C36" s="5" t="s">
        <v>176</v>
      </c>
      <c r="D36" s="5" t="s">
        <v>45</v>
      </c>
      <c r="E36" s="6">
        <v>1.5</v>
      </c>
      <c r="F36" s="7">
        <v>800000</v>
      </c>
      <c r="G36" s="7">
        <f t="shared" si="2"/>
        <v>1200000</v>
      </c>
      <c r="H36" s="7"/>
    </row>
    <row r="37" spans="1:8" ht="42.75" x14ac:dyDescent="0.25">
      <c r="A37" s="5" t="s">
        <v>193</v>
      </c>
      <c r="B37" s="5" t="s">
        <v>194</v>
      </c>
      <c r="C37" s="5" t="s">
        <v>176</v>
      </c>
      <c r="D37" s="5" t="s">
        <v>45</v>
      </c>
      <c r="E37" s="6">
        <v>1.5</v>
      </c>
      <c r="F37" s="7">
        <v>800000</v>
      </c>
      <c r="G37" s="7">
        <f t="shared" si="2"/>
        <v>1200000</v>
      </c>
      <c r="H37" s="7"/>
    </row>
    <row r="38" spans="1:8" x14ac:dyDescent="0.25">
      <c r="A38" s="8" t="s">
        <v>195</v>
      </c>
      <c r="B38" s="8" t="s">
        <v>196</v>
      </c>
      <c r="C38" s="8"/>
      <c r="D38" s="8"/>
      <c r="E38" s="11"/>
      <c r="F38" s="9"/>
      <c r="G38" s="9"/>
      <c r="H38" s="9"/>
    </row>
    <row r="39" spans="1:8" ht="42.75" x14ac:dyDescent="0.25">
      <c r="A39" s="5" t="s">
        <v>197</v>
      </c>
      <c r="B39" s="5" t="s">
        <v>198</v>
      </c>
      <c r="C39" s="5" t="s">
        <v>199</v>
      </c>
      <c r="D39" s="5" t="s">
        <v>45</v>
      </c>
      <c r="E39" s="6">
        <v>1.5</v>
      </c>
      <c r="F39" s="7">
        <v>800000</v>
      </c>
      <c r="G39" s="7">
        <f t="shared" ref="G39:G50" si="3">E39*F39</f>
        <v>1200000</v>
      </c>
      <c r="H39" s="7">
        <v>1000000</v>
      </c>
    </row>
    <row r="40" spans="1:8" ht="42.75" x14ac:dyDescent="0.25">
      <c r="A40" s="5" t="s">
        <v>200</v>
      </c>
      <c r="B40" s="5" t="s">
        <v>201</v>
      </c>
      <c r="C40" s="5" t="s">
        <v>202</v>
      </c>
      <c r="D40" s="5" t="s">
        <v>45</v>
      </c>
      <c r="E40" s="6">
        <v>1.5</v>
      </c>
      <c r="F40" s="7">
        <v>800000</v>
      </c>
      <c r="G40" s="7">
        <f t="shared" si="3"/>
        <v>1200000</v>
      </c>
      <c r="H40" s="7"/>
    </row>
    <row r="41" spans="1:8" ht="42.75" x14ac:dyDescent="0.25">
      <c r="A41" s="5" t="s">
        <v>203</v>
      </c>
      <c r="B41" s="5" t="s">
        <v>204</v>
      </c>
      <c r="C41" s="5" t="s">
        <v>205</v>
      </c>
      <c r="D41" s="5" t="s">
        <v>45</v>
      </c>
      <c r="E41" s="6">
        <v>1.5</v>
      </c>
      <c r="F41" s="7">
        <v>800000</v>
      </c>
      <c r="G41" s="7">
        <f t="shared" si="3"/>
        <v>1200000</v>
      </c>
      <c r="H41" s="7"/>
    </row>
    <row r="42" spans="1:8" ht="42.75" x14ac:dyDescent="0.25">
      <c r="A42" s="5" t="s">
        <v>206</v>
      </c>
      <c r="B42" s="5" t="s">
        <v>207</v>
      </c>
      <c r="C42" s="5" t="s">
        <v>208</v>
      </c>
      <c r="D42" s="5" t="s">
        <v>47</v>
      </c>
      <c r="E42" s="6">
        <v>1</v>
      </c>
      <c r="F42" s="7">
        <v>800000</v>
      </c>
      <c r="G42" s="7">
        <f t="shared" si="3"/>
        <v>800000</v>
      </c>
      <c r="H42" s="7"/>
    </row>
    <row r="43" spans="1:8" ht="42.75" x14ac:dyDescent="0.25">
      <c r="A43" s="5" t="s">
        <v>209</v>
      </c>
      <c r="B43" s="5" t="s">
        <v>210</v>
      </c>
      <c r="C43" s="5" t="s">
        <v>211</v>
      </c>
      <c r="D43" s="5" t="s">
        <v>47</v>
      </c>
      <c r="E43" s="6">
        <v>1</v>
      </c>
      <c r="F43" s="7">
        <v>800000</v>
      </c>
      <c r="G43" s="7">
        <f t="shared" si="3"/>
        <v>800000</v>
      </c>
      <c r="H43" s="7"/>
    </row>
    <row r="44" spans="1:8" ht="42.75" x14ac:dyDescent="0.25">
      <c r="A44" s="5" t="s">
        <v>212</v>
      </c>
      <c r="B44" s="5" t="s">
        <v>213</v>
      </c>
      <c r="C44" s="5" t="s">
        <v>214</v>
      </c>
      <c r="D44" s="5" t="s">
        <v>47</v>
      </c>
      <c r="E44" s="6">
        <v>1</v>
      </c>
      <c r="F44" s="7">
        <v>800000</v>
      </c>
      <c r="G44" s="7">
        <f t="shared" si="3"/>
        <v>800000</v>
      </c>
      <c r="H44" s="7"/>
    </row>
    <row r="45" spans="1:8" ht="42.75" x14ac:dyDescent="0.25">
      <c r="A45" s="5" t="s">
        <v>215</v>
      </c>
      <c r="B45" s="5" t="s">
        <v>216</v>
      </c>
      <c r="C45" s="5" t="s">
        <v>217</v>
      </c>
      <c r="D45" s="5" t="s">
        <v>47</v>
      </c>
      <c r="E45" s="6">
        <v>5</v>
      </c>
      <c r="F45" s="7">
        <v>800000</v>
      </c>
      <c r="G45" s="7">
        <f t="shared" si="3"/>
        <v>4000000</v>
      </c>
      <c r="H45" s="7"/>
    </row>
    <row r="46" spans="1:8" ht="42.75" x14ac:dyDescent="0.25">
      <c r="A46" s="5" t="s">
        <v>218</v>
      </c>
      <c r="B46" s="5" t="s">
        <v>219</v>
      </c>
      <c r="C46" s="5" t="s">
        <v>220</v>
      </c>
      <c r="D46" s="5" t="s">
        <v>47</v>
      </c>
      <c r="E46" s="6">
        <v>5</v>
      </c>
      <c r="F46" s="7">
        <v>800000</v>
      </c>
      <c r="G46" s="7">
        <f t="shared" si="3"/>
        <v>4000000</v>
      </c>
      <c r="H46" s="7"/>
    </row>
    <row r="47" spans="1:8" ht="42.75" x14ac:dyDescent="0.25">
      <c r="A47" s="5" t="s">
        <v>221</v>
      </c>
      <c r="B47" s="5" t="s">
        <v>222</v>
      </c>
      <c r="C47" s="5" t="s">
        <v>223</v>
      </c>
      <c r="D47" s="5" t="s">
        <v>47</v>
      </c>
      <c r="E47" s="6">
        <v>5</v>
      </c>
      <c r="F47" s="7">
        <v>800000</v>
      </c>
      <c r="G47" s="7">
        <f t="shared" si="3"/>
        <v>4000000</v>
      </c>
      <c r="H47" s="7"/>
    </row>
    <row r="48" spans="1:8" ht="42.75" x14ac:dyDescent="0.25">
      <c r="A48" s="5" t="s">
        <v>224</v>
      </c>
      <c r="B48" s="5" t="s">
        <v>225</v>
      </c>
      <c r="C48" s="5" t="s">
        <v>226</v>
      </c>
      <c r="D48" s="5" t="s">
        <v>47</v>
      </c>
      <c r="E48" s="6">
        <v>5</v>
      </c>
      <c r="F48" s="7">
        <v>800000</v>
      </c>
      <c r="G48" s="7">
        <f t="shared" si="3"/>
        <v>4000000</v>
      </c>
      <c r="H48" s="7"/>
    </row>
    <row r="49" spans="1:8" ht="42.75" x14ac:dyDescent="0.25">
      <c r="A49" s="5" t="s">
        <v>227</v>
      </c>
      <c r="B49" s="5" t="s">
        <v>228</v>
      </c>
      <c r="C49" s="5" t="s">
        <v>229</v>
      </c>
      <c r="D49" s="5" t="s">
        <v>47</v>
      </c>
      <c r="E49" s="6">
        <v>5</v>
      </c>
      <c r="F49" s="7">
        <v>800000</v>
      </c>
      <c r="G49" s="7">
        <f t="shared" si="3"/>
        <v>4000000</v>
      </c>
      <c r="H49" s="7"/>
    </row>
    <row r="50" spans="1:8" ht="42.75" x14ac:dyDescent="0.25">
      <c r="A50" s="5" t="s">
        <v>230</v>
      </c>
      <c r="B50" s="5" t="s">
        <v>231</v>
      </c>
      <c r="C50" s="5" t="s">
        <v>232</v>
      </c>
      <c r="D50" s="5" t="s">
        <v>47</v>
      </c>
      <c r="E50" s="6">
        <v>5</v>
      </c>
      <c r="F50" s="7">
        <v>800000</v>
      </c>
      <c r="G50" s="7">
        <f t="shared" si="3"/>
        <v>4000000</v>
      </c>
      <c r="H50" s="7"/>
    </row>
    <row r="51" spans="1:8" x14ac:dyDescent="0.25">
      <c r="A51" s="8" t="s">
        <v>233</v>
      </c>
      <c r="B51" s="8" t="s">
        <v>234</v>
      </c>
      <c r="C51" s="8"/>
      <c r="D51" s="8"/>
      <c r="E51" s="11"/>
      <c r="F51" s="9"/>
      <c r="G51" s="9"/>
      <c r="H51" s="9"/>
    </row>
    <row r="52" spans="1:8" ht="42.75" x14ac:dyDescent="0.25">
      <c r="A52" s="5" t="s">
        <v>235</v>
      </c>
      <c r="B52" s="5" t="s">
        <v>236</v>
      </c>
      <c r="C52" s="5" t="s">
        <v>237</v>
      </c>
      <c r="D52" s="5" t="s">
        <v>47</v>
      </c>
      <c r="E52" s="6">
        <v>2.5</v>
      </c>
      <c r="F52" s="7">
        <v>800000</v>
      </c>
      <c r="G52" s="7">
        <f t="shared" ref="G52:G63" si="4">E52*F52</f>
        <v>2000000</v>
      </c>
      <c r="H52" s="7">
        <v>1000000</v>
      </c>
    </row>
    <row r="53" spans="1:8" ht="42.75" x14ac:dyDescent="0.25">
      <c r="A53" s="5" t="s">
        <v>238</v>
      </c>
      <c r="B53" s="5" t="s">
        <v>239</v>
      </c>
      <c r="C53" s="5" t="s">
        <v>240</v>
      </c>
      <c r="D53" s="5" t="s">
        <v>47</v>
      </c>
      <c r="E53" s="6">
        <v>2.5</v>
      </c>
      <c r="F53" s="7">
        <v>800000</v>
      </c>
      <c r="G53" s="7">
        <f t="shared" si="4"/>
        <v>2000000</v>
      </c>
      <c r="H53" s="7"/>
    </row>
    <row r="54" spans="1:8" ht="42.75" x14ac:dyDescent="0.25">
      <c r="A54" s="5" t="s">
        <v>241</v>
      </c>
      <c r="B54" s="5" t="s">
        <v>242</v>
      </c>
      <c r="C54" s="5" t="s">
        <v>243</v>
      </c>
      <c r="D54" s="5" t="s">
        <v>47</v>
      </c>
      <c r="E54" s="6">
        <v>2.5</v>
      </c>
      <c r="F54" s="7">
        <v>800000</v>
      </c>
      <c r="G54" s="7">
        <f t="shared" si="4"/>
        <v>2000000</v>
      </c>
      <c r="H54" s="7"/>
    </row>
    <row r="55" spans="1:8" ht="28.5" x14ac:dyDescent="0.25">
      <c r="A55" s="5" t="s">
        <v>244</v>
      </c>
      <c r="B55" s="5" t="s">
        <v>245</v>
      </c>
      <c r="C55" s="5" t="s">
        <v>246</v>
      </c>
      <c r="D55" s="5" t="s">
        <v>47</v>
      </c>
      <c r="E55" s="6">
        <v>2.5</v>
      </c>
      <c r="F55" s="7">
        <v>800000</v>
      </c>
      <c r="G55" s="7">
        <f t="shared" si="4"/>
        <v>2000000</v>
      </c>
      <c r="H55" s="7"/>
    </row>
    <row r="56" spans="1:8" ht="42.75" x14ac:dyDescent="0.25">
      <c r="A56" s="5" t="s">
        <v>247</v>
      </c>
      <c r="B56" s="5" t="s">
        <v>248</v>
      </c>
      <c r="C56" s="5" t="s">
        <v>249</v>
      </c>
      <c r="D56" s="5" t="s">
        <v>47</v>
      </c>
      <c r="E56" s="6">
        <v>2.5</v>
      </c>
      <c r="F56" s="7">
        <v>800000</v>
      </c>
      <c r="G56" s="7">
        <f t="shared" si="4"/>
        <v>2000000</v>
      </c>
      <c r="H56" s="7"/>
    </row>
    <row r="57" spans="1:8" ht="42.75" x14ac:dyDescent="0.25">
      <c r="A57" s="5" t="s">
        <v>250</v>
      </c>
      <c r="B57" s="5" t="s">
        <v>251</v>
      </c>
      <c r="C57" s="5" t="s">
        <v>252</v>
      </c>
      <c r="D57" s="5" t="s">
        <v>47</v>
      </c>
      <c r="E57" s="6">
        <v>2.5</v>
      </c>
      <c r="F57" s="7">
        <v>800000</v>
      </c>
      <c r="G57" s="7">
        <f t="shared" si="4"/>
        <v>2000000</v>
      </c>
      <c r="H57" s="7"/>
    </row>
    <row r="58" spans="1:8" ht="42.75" x14ac:dyDescent="0.25">
      <c r="A58" s="5" t="s">
        <v>253</v>
      </c>
      <c r="B58" s="5" t="s">
        <v>254</v>
      </c>
      <c r="C58" s="5" t="s">
        <v>255</v>
      </c>
      <c r="D58" s="5" t="s">
        <v>47</v>
      </c>
      <c r="E58" s="6">
        <v>2.5</v>
      </c>
      <c r="F58" s="7">
        <v>800000</v>
      </c>
      <c r="G58" s="7">
        <f t="shared" si="4"/>
        <v>2000000</v>
      </c>
      <c r="H58" s="7"/>
    </row>
    <row r="59" spans="1:8" ht="42.75" x14ac:dyDescent="0.25">
      <c r="A59" s="5" t="s">
        <v>256</v>
      </c>
      <c r="B59" s="5" t="s">
        <v>257</v>
      </c>
      <c r="C59" s="5" t="s">
        <v>258</v>
      </c>
      <c r="D59" s="5" t="s">
        <v>47</v>
      </c>
      <c r="E59" s="6">
        <v>2.5</v>
      </c>
      <c r="F59" s="7">
        <v>800000</v>
      </c>
      <c r="G59" s="7">
        <f t="shared" si="4"/>
        <v>2000000</v>
      </c>
      <c r="H59" s="7"/>
    </row>
    <row r="60" spans="1:8" ht="42.75" x14ac:dyDescent="0.25">
      <c r="A60" s="5" t="s">
        <v>259</v>
      </c>
      <c r="B60" s="5" t="s">
        <v>260</v>
      </c>
      <c r="C60" s="5" t="s">
        <v>261</v>
      </c>
      <c r="D60" s="5" t="s">
        <v>47</v>
      </c>
      <c r="E60" s="6">
        <v>2.5</v>
      </c>
      <c r="F60" s="7">
        <v>800000</v>
      </c>
      <c r="G60" s="7">
        <f t="shared" si="4"/>
        <v>2000000</v>
      </c>
      <c r="H60" s="7"/>
    </row>
    <row r="61" spans="1:8" ht="42.75" x14ac:dyDescent="0.25">
      <c r="A61" s="5" t="s">
        <v>262</v>
      </c>
      <c r="B61" s="5" t="s">
        <v>263</v>
      </c>
      <c r="C61" s="5" t="s">
        <v>264</v>
      </c>
      <c r="D61" s="5" t="s">
        <v>47</v>
      </c>
      <c r="E61" s="6">
        <v>2.5</v>
      </c>
      <c r="F61" s="7">
        <v>800000</v>
      </c>
      <c r="G61" s="7">
        <f t="shared" si="4"/>
        <v>2000000</v>
      </c>
      <c r="H61" s="7"/>
    </row>
    <row r="62" spans="1:8" ht="42.75" x14ac:dyDescent="0.25">
      <c r="A62" s="5" t="s">
        <v>265</v>
      </c>
      <c r="B62" s="5" t="s">
        <v>266</v>
      </c>
      <c r="C62" s="5" t="s">
        <v>267</v>
      </c>
      <c r="D62" s="5" t="s">
        <v>47</v>
      </c>
      <c r="E62" s="6">
        <v>2.5</v>
      </c>
      <c r="F62" s="7">
        <v>800000</v>
      </c>
      <c r="G62" s="7">
        <f t="shared" si="4"/>
        <v>2000000</v>
      </c>
      <c r="H62" s="7"/>
    </row>
    <row r="63" spans="1:8" ht="42.75" x14ac:dyDescent="0.25">
      <c r="A63" s="5" t="s">
        <v>268</v>
      </c>
      <c r="B63" s="5" t="s">
        <v>269</v>
      </c>
      <c r="C63" s="5" t="s">
        <v>270</v>
      </c>
      <c r="D63" s="5" t="s">
        <v>47</v>
      </c>
      <c r="E63" s="6">
        <v>2.5</v>
      </c>
      <c r="F63" s="7">
        <v>800000</v>
      </c>
      <c r="G63" s="7">
        <f t="shared" si="4"/>
        <v>2000000</v>
      </c>
      <c r="H63" s="7"/>
    </row>
    <row r="64" spans="1:8" x14ac:dyDescent="0.25">
      <c r="A64" s="8" t="s">
        <v>271</v>
      </c>
      <c r="B64" s="8" t="s">
        <v>272</v>
      </c>
      <c r="C64" s="8"/>
      <c r="D64" s="8"/>
      <c r="E64" s="11"/>
      <c r="F64" s="9"/>
      <c r="G64" s="9"/>
      <c r="H64" s="9"/>
    </row>
    <row r="65" spans="1:8" ht="25.5" x14ac:dyDescent="0.25">
      <c r="A65" s="29" t="s">
        <v>273</v>
      </c>
      <c r="B65" s="29" t="s">
        <v>274</v>
      </c>
      <c r="C65" s="29" t="s">
        <v>275</v>
      </c>
      <c r="D65" s="29" t="s">
        <v>62</v>
      </c>
      <c r="E65" s="30">
        <v>7.9</v>
      </c>
      <c r="F65" s="31">
        <v>1375688</v>
      </c>
      <c r="G65" s="31">
        <f t="shared" ref="G65:G77" si="5">E65*F65</f>
        <v>10867935.200000001</v>
      </c>
      <c r="H65" s="31">
        <v>1000000</v>
      </c>
    </row>
    <row r="66" spans="1:8" ht="25.5" x14ac:dyDescent="0.25">
      <c r="A66" s="29" t="s">
        <v>276</v>
      </c>
      <c r="B66" s="29" t="s">
        <v>277</v>
      </c>
      <c r="C66" s="29" t="s">
        <v>278</v>
      </c>
      <c r="D66" s="29" t="s">
        <v>62</v>
      </c>
      <c r="E66" s="30">
        <v>7.9</v>
      </c>
      <c r="F66" s="31">
        <v>1375688</v>
      </c>
      <c r="G66" s="31">
        <f t="shared" si="5"/>
        <v>10867935.200000001</v>
      </c>
      <c r="H66" s="31"/>
    </row>
    <row r="67" spans="1:8" ht="25.5" x14ac:dyDescent="0.25">
      <c r="A67" s="29" t="s">
        <v>279</v>
      </c>
      <c r="B67" s="29" t="s">
        <v>280</v>
      </c>
      <c r="C67" s="29" t="s">
        <v>281</v>
      </c>
      <c r="D67" s="29" t="s">
        <v>62</v>
      </c>
      <c r="E67" s="30">
        <v>7.9</v>
      </c>
      <c r="F67" s="31">
        <v>1375688</v>
      </c>
      <c r="G67" s="31">
        <f t="shared" si="5"/>
        <v>10867935.200000001</v>
      </c>
      <c r="H67" s="31"/>
    </row>
    <row r="68" spans="1:8" ht="25.5" x14ac:dyDescent="0.25">
      <c r="A68" s="29" t="s">
        <v>282</v>
      </c>
      <c r="B68" s="29" t="s">
        <v>283</v>
      </c>
      <c r="C68" s="29" t="s">
        <v>284</v>
      </c>
      <c r="D68" s="29" t="s">
        <v>62</v>
      </c>
      <c r="E68" s="30">
        <v>7.9</v>
      </c>
      <c r="F68" s="31">
        <v>1375688</v>
      </c>
      <c r="G68" s="31">
        <f t="shared" si="5"/>
        <v>10867935.200000001</v>
      </c>
      <c r="H68" s="31"/>
    </row>
    <row r="69" spans="1:8" ht="25.5" x14ac:dyDescent="0.25">
      <c r="A69" s="29" t="s">
        <v>285</v>
      </c>
      <c r="B69" s="29" t="s">
        <v>286</v>
      </c>
      <c r="C69" s="29" t="s">
        <v>287</v>
      </c>
      <c r="D69" s="29" t="s">
        <v>62</v>
      </c>
      <c r="E69" s="30">
        <v>7.9</v>
      </c>
      <c r="F69" s="31">
        <v>1375688</v>
      </c>
      <c r="G69" s="31">
        <f t="shared" si="5"/>
        <v>10867935.200000001</v>
      </c>
      <c r="H69" s="31"/>
    </row>
    <row r="70" spans="1:8" ht="25.5" x14ac:dyDescent="0.25">
      <c r="A70" s="29" t="s">
        <v>288</v>
      </c>
      <c r="B70" s="29" t="s">
        <v>289</v>
      </c>
      <c r="C70" s="29" t="s">
        <v>290</v>
      </c>
      <c r="D70" s="29" t="s">
        <v>62</v>
      </c>
      <c r="E70" s="30">
        <v>7.9</v>
      </c>
      <c r="F70" s="31">
        <v>1375688</v>
      </c>
      <c r="G70" s="31">
        <f t="shared" si="5"/>
        <v>10867935.200000001</v>
      </c>
      <c r="H70" s="31"/>
    </row>
    <row r="71" spans="1:8" ht="25.5" x14ac:dyDescent="0.25">
      <c r="A71" s="29" t="s">
        <v>291</v>
      </c>
      <c r="B71" s="29" t="s">
        <v>292</v>
      </c>
      <c r="C71" s="29" t="s">
        <v>293</v>
      </c>
      <c r="D71" s="29" t="s">
        <v>62</v>
      </c>
      <c r="E71" s="30">
        <v>7.9</v>
      </c>
      <c r="F71" s="31">
        <v>1375688</v>
      </c>
      <c r="G71" s="31">
        <f t="shared" si="5"/>
        <v>10867935.200000001</v>
      </c>
      <c r="H71" s="31"/>
    </row>
    <row r="72" spans="1:8" ht="38.25" x14ac:dyDescent="0.25">
      <c r="A72" s="29" t="s">
        <v>294</v>
      </c>
      <c r="B72" s="29" t="s">
        <v>295</v>
      </c>
      <c r="C72" s="29" t="s">
        <v>296</v>
      </c>
      <c r="D72" s="29" t="s">
        <v>62</v>
      </c>
      <c r="E72" s="30">
        <v>7.9</v>
      </c>
      <c r="F72" s="31">
        <v>1375688</v>
      </c>
      <c r="G72" s="31">
        <f t="shared" si="5"/>
        <v>10867935.200000001</v>
      </c>
      <c r="H72" s="31"/>
    </row>
    <row r="73" spans="1:8" ht="38.25" x14ac:dyDescent="0.25">
      <c r="A73" s="29" t="s">
        <v>297</v>
      </c>
      <c r="B73" s="29" t="s">
        <v>298</v>
      </c>
      <c r="C73" s="29" t="s">
        <v>299</v>
      </c>
      <c r="D73" s="29" t="s">
        <v>62</v>
      </c>
      <c r="E73" s="30">
        <v>7.9</v>
      </c>
      <c r="F73" s="31">
        <v>1375688</v>
      </c>
      <c r="G73" s="31">
        <f t="shared" si="5"/>
        <v>10867935.200000001</v>
      </c>
      <c r="H73" s="31"/>
    </row>
    <row r="74" spans="1:8" ht="25.5" x14ac:dyDescent="0.25">
      <c r="A74" s="29" t="s">
        <v>300</v>
      </c>
      <c r="B74" s="29" t="s">
        <v>301</v>
      </c>
      <c r="C74" s="29" t="s">
        <v>302</v>
      </c>
      <c r="D74" s="29" t="s">
        <v>62</v>
      </c>
      <c r="E74" s="30">
        <v>7.9</v>
      </c>
      <c r="F74" s="31">
        <v>1375688</v>
      </c>
      <c r="G74" s="31">
        <f t="shared" si="5"/>
        <v>10867935.200000001</v>
      </c>
      <c r="H74" s="31"/>
    </row>
    <row r="75" spans="1:8" ht="25.5" x14ac:dyDescent="0.25">
      <c r="A75" s="29" t="s">
        <v>303</v>
      </c>
      <c r="B75" s="29" t="s">
        <v>304</v>
      </c>
      <c r="C75" s="29" t="s">
        <v>305</v>
      </c>
      <c r="D75" s="29" t="s">
        <v>62</v>
      </c>
      <c r="E75" s="30">
        <v>7.9</v>
      </c>
      <c r="F75" s="31">
        <v>1375688</v>
      </c>
      <c r="G75" s="31">
        <f t="shared" si="5"/>
        <v>10867935.200000001</v>
      </c>
      <c r="H75" s="31"/>
    </row>
    <row r="76" spans="1:8" ht="42.75" x14ac:dyDescent="0.25">
      <c r="A76" s="5" t="s">
        <v>306</v>
      </c>
      <c r="B76" s="5" t="s">
        <v>307</v>
      </c>
      <c r="C76" s="5" t="s">
        <v>308</v>
      </c>
      <c r="D76" s="5" t="s">
        <v>47</v>
      </c>
      <c r="E76" s="6">
        <v>1</v>
      </c>
      <c r="F76" s="7">
        <v>800000</v>
      </c>
      <c r="G76" s="7">
        <f t="shared" si="5"/>
        <v>800000</v>
      </c>
      <c r="H76" s="7"/>
    </row>
    <row r="77" spans="1:8" ht="42.75" x14ac:dyDescent="0.25">
      <c r="A77" s="5" t="s">
        <v>309</v>
      </c>
      <c r="B77" s="5" t="s">
        <v>310</v>
      </c>
      <c r="C77" s="5" t="s">
        <v>311</v>
      </c>
      <c r="D77" s="5" t="s">
        <v>47</v>
      </c>
      <c r="E77" s="6">
        <v>1</v>
      </c>
      <c r="F77" s="7">
        <v>800000</v>
      </c>
      <c r="G77" s="7">
        <f t="shared" si="5"/>
        <v>800000</v>
      </c>
      <c r="H77" s="7">
        <v>2000000</v>
      </c>
    </row>
    <row r="78" spans="1:8" x14ac:dyDescent="0.25">
      <c r="A78" s="26" t="s">
        <v>95</v>
      </c>
      <c r="B78" s="26" t="s">
        <v>312</v>
      </c>
      <c r="C78" s="26"/>
      <c r="D78" s="26"/>
      <c r="E78" s="28"/>
      <c r="F78" s="27"/>
      <c r="G78" s="27"/>
      <c r="H78" s="27"/>
    </row>
    <row r="79" spans="1:8" ht="28.5" x14ac:dyDescent="0.25">
      <c r="A79" s="5" t="s">
        <v>313</v>
      </c>
      <c r="B79" s="5" t="s">
        <v>314</v>
      </c>
      <c r="C79" s="5" t="s">
        <v>315</v>
      </c>
      <c r="D79" s="5" t="s">
        <v>39</v>
      </c>
      <c r="E79" s="6">
        <v>29.5</v>
      </c>
      <c r="F79" s="7">
        <v>800000</v>
      </c>
      <c r="G79" s="7">
        <f>E79*F79</f>
        <v>23600000</v>
      </c>
      <c r="H79" s="7">
        <v>95000000</v>
      </c>
    </row>
    <row r="80" spans="1:8" ht="25.5" x14ac:dyDescent="0.25">
      <c r="A80" s="29" t="s">
        <v>316</v>
      </c>
      <c r="B80" s="29" t="s">
        <v>317</v>
      </c>
      <c r="C80" s="29" t="s">
        <v>318</v>
      </c>
      <c r="D80" s="29" t="s">
        <v>57</v>
      </c>
      <c r="E80" s="30">
        <v>25</v>
      </c>
      <c r="F80" s="31">
        <v>1375688</v>
      </c>
      <c r="G80" s="31">
        <f>E80*F80</f>
        <v>34392200</v>
      </c>
      <c r="H80" s="31"/>
    </row>
    <row r="81" spans="1:8" ht="28.5" x14ac:dyDescent="0.25">
      <c r="A81" s="5" t="s">
        <v>319</v>
      </c>
      <c r="B81" s="5" t="s">
        <v>320</v>
      </c>
      <c r="C81" s="5" t="s">
        <v>321</v>
      </c>
      <c r="D81" s="5" t="s">
        <v>51</v>
      </c>
      <c r="E81" s="6">
        <v>56</v>
      </c>
      <c r="F81" s="7">
        <v>1600000</v>
      </c>
      <c r="G81" s="7">
        <f>E81*F81</f>
        <v>89600000</v>
      </c>
      <c r="H81" s="7"/>
    </row>
    <row r="82" spans="1:8" ht="42.75" x14ac:dyDescent="0.25">
      <c r="A82" s="5" t="s">
        <v>322</v>
      </c>
      <c r="B82" s="5" t="s">
        <v>323</v>
      </c>
      <c r="C82" s="5" t="s">
        <v>324</v>
      </c>
      <c r="D82" s="5" t="s">
        <v>42</v>
      </c>
      <c r="E82" s="6">
        <v>47.5</v>
      </c>
      <c r="F82" s="7">
        <v>1200000</v>
      </c>
      <c r="G82" s="7">
        <f>E82*F82</f>
        <v>57000000</v>
      </c>
      <c r="H82" s="7">
        <v>27500000</v>
      </c>
    </row>
    <row r="83" spans="1:8" x14ac:dyDescent="0.25">
      <c r="A83" s="8" t="s">
        <v>325</v>
      </c>
      <c r="B83" s="8" t="s">
        <v>326</v>
      </c>
      <c r="C83" s="8"/>
      <c r="D83" s="8"/>
      <c r="E83" s="11"/>
      <c r="F83" s="9"/>
      <c r="G83" s="9"/>
      <c r="H83" s="9"/>
    </row>
    <row r="84" spans="1:8" ht="42.75" x14ac:dyDescent="0.25">
      <c r="A84" s="5" t="s">
        <v>327</v>
      </c>
      <c r="B84" s="5" t="s">
        <v>328</v>
      </c>
      <c r="C84" s="5" t="s">
        <v>329</v>
      </c>
      <c r="D84" s="5" t="s">
        <v>49</v>
      </c>
      <c r="E84" s="6">
        <v>20</v>
      </c>
      <c r="F84" s="7">
        <v>1200000</v>
      </c>
      <c r="G84" s="7">
        <f t="shared" ref="G84:G91" si="6">E84*F84</f>
        <v>24000000</v>
      </c>
      <c r="H84" s="7">
        <v>22500000</v>
      </c>
    </row>
    <row r="85" spans="1:8" ht="42.75" x14ac:dyDescent="0.25">
      <c r="A85" s="5" t="s">
        <v>330</v>
      </c>
      <c r="B85" s="5" t="s">
        <v>331</v>
      </c>
      <c r="C85" s="5" t="s">
        <v>332</v>
      </c>
      <c r="D85" s="5" t="s">
        <v>49</v>
      </c>
      <c r="E85" s="6">
        <v>20</v>
      </c>
      <c r="F85" s="7">
        <v>1200000</v>
      </c>
      <c r="G85" s="7">
        <f t="shared" si="6"/>
        <v>24000000</v>
      </c>
      <c r="H85" s="7"/>
    </row>
    <row r="86" spans="1:8" ht="42.75" x14ac:dyDescent="0.25">
      <c r="A86" s="5" t="s">
        <v>333</v>
      </c>
      <c r="B86" s="5" t="s">
        <v>334</v>
      </c>
      <c r="C86" s="5" t="s">
        <v>335</v>
      </c>
      <c r="D86" s="5" t="s">
        <v>49</v>
      </c>
      <c r="E86" s="6">
        <v>30</v>
      </c>
      <c r="F86" s="7">
        <v>1200000</v>
      </c>
      <c r="G86" s="7">
        <f t="shared" si="6"/>
        <v>36000000</v>
      </c>
      <c r="H86" s="7"/>
    </row>
    <row r="87" spans="1:8" ht="25.5" x14ac:dyDescent="0.25">
      <c r="A87" s="29" t="s">
        <v>336</v>
      </c>
      <c r="B87" s="29" t="s">
        <v>337</v>
      </c>
      <c r="C87" s="29" t="s">
        <v>338</v>
      </c>
      <c r="D87" s="29" t="s">
        <v>57</v>
      </c>
      <c r="E87" s="30">
        <v>20</v>
      </c>
      <c r="F87" s="31">
        <v>1375688</v>
      </c>
      <c r="G87" s="31">
        <f t="shared" si="6"/>
        <v>27513760</v>
      </c>
      <c r="H87" s="31"/>
    </row>
    <row r="88" spans="1:8" ht="38.25" x14ac:dyDescent="0.25">
      <c r="A88" s="29" t="s">
        <v>339</v>
      </c>
      <c r="B88" s="29" t="s">
        <v>340</v>
      </c>
      <c r="C88" s="29" t="s">
        <v>341</v>
      </c>
      <c r="D88" s="29" t="s">
        <v>57</v>
      </c>
      <c r="E88" s="30">
        <v>20</v>
      </c>
      <c r="F88" s="31">
        <v>1375688</v>
      </c>
      <c r="G88" s="31">
        <f t="shared" si="6"/>
        <v>27513760</v>
      </c>
      <c r="H88" s="31"/>
    </row>
    <row r="89" spans="1:8" ht="25.5" x14ac:dyDescent="0.25">
      <c r="A89" s="29" t="s">
        <v>342</v>
      </c>
      <c r="B89" s="29" t="s">
        <v>343</v>
      </c>
      <c r="C89" s="29" t="s">
        <v>344</v>
      </c>
      <c r="D89" s="29" t="s">
        <v>57</v>
      </c>
      <c r="E89" s="30">
        <v>20</v>
      </c>
      <c r="F89" s="31">
        <v>1375688</v>
      </c>
      <c r="G89" s="31">
        <f t="shared" si="6"/>
        <v>27513760</v>
      </c>
      <c r="H89" s="31"/>
    </row>
    <row r="90" spans="1:8" ht="25.5" x14ac:dyDescent="0.25">
      <c r="A90" s="29" t="s">
        <v>345</v>
      </c>
      <c r="B90" s="29" t="s">
        <v>346</v>
      </c>
      <c r="C90" s="29" t="s">
        <v>347</v>
      </c>
      <c r="D90" s="29" t="s">
        <v>57</v>
      </c>
      <c r="E90" s="30">
        <v>10</v>
      </c>
      <c r="F90" s="31">
        <v>1375688</v>
      </c>
      <c r="G90" s="31">
        <f t="shared" si="6"/>
        <v>13756880</v>
      </c>
      <c r="H90" s="31"/>
    </row>
    <row r="91" spans="1:8" ht="28.5" x14ac:dyDescent="0.25">
      <c r="A91" s="5" t="s">
        <v>348</v>
      </c>
      <c r="B91" s="5" t="s">
        <v>349</v>
      </c>
      <c r="C91" s="5" t="s">
        <v>350</v>
      </c>
      <c r="D91" s="5" t="s">
        <v>42</v>
      </c>
      <c r="E91" s="6">
        <v>8</v>
      </c>
      <c r="F91" s="7">
        <v>1200000</v>
      </c>
      <c r="G91" s="7">
        <f t="shared" si="6"/>
        <v>9600000</v>
      </c>
      <c r="H91" s="7"/>
    </row>
    <row r="92" spans="1:8" x14ac:dyDescent="0.25">
      <c r="A92" s="26" t="s">
        <v>97</v>
      </c>
      <c r="B92" s="26" t="s">
        <v>351</v>
      </c>
      <c r="C92" s="26"/>
      <c r="D92" s="26"/>
      <c r="E92" s="28"/>
      <c r="F92" s="27"/>
      <c r="G92" s="27"/>
      <c r="H92" s="27"/>
    </row>
    <row r="93" spans="1:8" x14ac:dyDescent="0.25">
      <c r="A93" s="8" t="s">
        <v>352</v>
      </c>
      <c r="B93" s="8" t="s">
        <v>353</v>
      </c>
      <c r="C93" s="8"/>
      <c r="D93" s="8"/>
      <c r="E93" s="11"/>
      <c r="F93" s="9"/>
      <c r="G93" s="9"/>
      <c r="H93" s="9"/>
    </row>
    <row r="94" spans="1:8" ht="28.5" x14ac:dyDescent="0.25">
      <c r="A94" s="5" t="s">
        <v>354</v>
      </c>
      <c r="B94" s="5" t="s">
        <v>355</v>
      </c>
      <c r="C94" s="5" t="s">
        <v>356</v>
      </c>
      <c r="D94" s="5" t="s">
        <v>39</v>
      </c>
      <c r="E94" s="6">
        <v>12</v>
      </c>
      <c r="F94" s="7">
        <v>800000</v>
      </c>
      <c r="G94" s="7">
        <f>E94*F94</f>
        <v>9600000</v>
      </c>
      <c r="H94" s="7">
        <v>7500000</v>
      </c>
    </row>
    <row r="95" spans="1:8" ht="28.5" x14ac:dyDescent="0.25">
      <c r="A95" s="5" t="s">
        <v>357</v>
      </c>
      <c r="B95" s="5" t="s">
        <v>358</v>
      </c>
      <c r="C95" s="5" t="s">
        <v>359</v>
      </c>
      <c r="D95" s="5" t="s">
        <v>45</v>
      </c>
      <c r="E95" s="6">
        <v>17.5</v>
      </c>
      <c r="F95" s="7">
        <v>800000</v>
      </c>
      <c r="G95" s="7">
        <f>E95*F95</f>
        <v>14000000</v>
      </c>
      <c r="H95" s="7">
        <v>7500000</v>
      </c>
    </row>
    <row r="96" spans="1:8" ht="28.5" x14ac:dyDescent="0.25">
      <c r="A96" s="5" t="s">
        <v>360</v>
      </c>
      <c r="B96" s="5" t="s">
        <v>361</v>
      </c>
      <c r="C96" s="5" t="s">
        <v>362</v>
      </c>
      <c r="D96" s="5" t="s">
        <v>39</v>
      </c>
      <c r="E96" s="6">
        <v>5</v>
      </c>
      <c r="F96" s="7">
        <v>800000</v>
      </c>
      <c r="G96" s="7">
        <f>E96*F96</f>
        <v>4000000</v>
      </c>
      <c r="H96" s="7"/>
    </row>
    <row r="97" spans="1:8" ht="28.5" x14ac:dyDescent="0.25">
      <c r="A97" s="5" t="s">
        <v>363</v>
      </c>
      <c r="B97" s="5" t="s">
        <v>364</v>
      </c>
      <c r="C97" s="5" t="s">
        <v>365</v>
      </c>
      <c r="D97" s="5" t="s">
        <v>42</v>
      </c>
      <c r="E97" s="6">
        <v>3.5</v>
      </c>
      <c r="F97" s="7">
        <v>1200000</v>
      </c>
      <c r="G97" s="7">
        <f>E97*F97</f>
        <v>4200000</v>
      </c>
      <c r="H97" s="7"/>
    </row>
    <row r="98" spans="1:8" x14ac:dyDescent="0.25">
      <c r="A98" s="26" t="s">
        <v>366</v>
      </c>
      <c r="B98" s="26" t="s">
        <v>367</v>
      </c>
      <c r="C98" s="26"/>
      <c r="D98" s="26"/>
      <c r="E98" s="28"/>
      <c r="F98" s="27"/>
      <c r="G98" s="27"/>
      <c r="H98" s="27"/>
    </row>
    <row r="99" spans="1:8" ht="28.5" x14ac:dyDescent="0.25">
      <c r="A99" s="5" t="s">
        <v>368</v>
      </c>
      <c r="B99" s="5" t="s">
        <v>369</v>
      </c>
      <c r="C99" s="5" t="s">
        <v>370</v>
      </c>
      <c r="D99" s="5" t="s">
        <v>51</v>
      </c>
      <c r="E99" s="6">
        <v>5</v>
      </c>
      <c r="F99" s="7">
        <v>1600000</v>
      </c>
      <c r="G99" s="7">
        <f>E99*F99</f>
        <v>8000000</v>
      </c>
      <c r="H99" s="7">
        <v>33000000</v>
      </c>
    </row>
    <row r="100" spans="1:8" ht="42.75" x14ac:dyDescent="0.25">
      <c r="A100" s="5" t="s">
        <v>371</v>
      </c>
      <c r="B100" s="5" t="s">
        <v>372</v>
      </c>
      <c r="C100" s="5" t="s">
        <v>373</v>
      </c>
      <c r="D100" s="5" t="s">
        <v>51</v>
      </c>
      <c r="E100" s="6">
        <v>5</v>
      </c>
      <c r="F100" s="7">
        <v>1600000</v>
      </c>
      <c r="G100" s="7">
        <f>E100*F100</f>
        <v>8000000</v>
      </c>
      <c r="H100" s="7">
        <v>22000000</v>
      </c>
    </row>
    <row r="101" spans="1:8" ht="28.5" x14ac:dyDescent="0.25">
      <c r="A101" s="5" t="s">
        <v>374</v>
      </c>
      <c r="B101" s="5" t="s">
        <v>375</v>
      </c>
      <c r="C101" s="5" t="s">
        <v>376</v>
      </c>
      <c r="D101" s="5" t="s">
        <v>42</v>
      </c>
      <c r="E101" s="6">
        <v>3.5</v>
      </c>
      <c r="F101" s="7">
        <v>1200000</v>
      </c>
      <c r="G101" s="7">
        <f>E101*F101</f>
        <v>4200000</v>
      </c>
      <c r="H101" s="7">
        <v>30000000</v>
      </c>
    </row>
    <row r="102" spans="1:8" ht="42.75" x14ac:dyDescent="0.25">
      <c r="A102" s="5" t="s">
        <v>377</v>
      </c>
      <c r="B102" s="5" t="s">
        <v>378</v>
      </c>
      <c r="C102" s="5" t="s">
        <v>379</v>
      </c>
      <c r="D102" s="5" t="s">
        <v>39</v>
      </c>
      <c r="E102" s="6">
        <v>5</v>
      </c>
      <c r="F102" s="7">
        <v>800000</v>
      </c>
      <c r="G102" s="7">
        <f>E102*F102</f>
        <v>4000000</v>
      </c>
      <c r="H102" s="7">
        <v>20000000</v>
      </c>
    </row>
    <row r="103" spans="1:8" ht="42.75" x14ac:dyDescent="0.25">
      <c r="A103" s="5" t="s">
        <v>380</v>
      </c>
      <c r="B103" s="5" t="s">
        <v>381</v>
      </c>
      <c r="C103" s="5" t="s">
        <v>382</v>
      </c>
      <c r="D103" s="5"/>
      <c r="E103" s="6">
        <v>0.6</v>
      </c>
      <c r="F103" s="7"/>
      <c r="G103" s="7"/>
      <c r="H103" s="7"/>
    </row>
    <row r="104" spans="1:8" ht="15.75" x14ac:dyDescent="0.25">
      <c r="A104" s="14"/>
      <c r="B104" s="14" t="s">
        <v>383</v>
      </c>
      <c r="C104" s="14"/>
      <c r="D104" s="14"/>
      <c r="E104" s="15">
        <f>SUM(E4:E103)</f>
        <v>597.50000000000011</v>
      </c>
      <c r="F104" s="15"/>
      <c r="G104" s="15">
        <f>SUM(G4:G103)</f>
        <v>700000031.19999981</v>
      </c>
      <c r="H104" s="15">
        <f>SUM(H4:H103)</f>
        <v>300000000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07BB4CB8C644074DA8C0D9544B46C45A" ma:contentTypeVersion="10" ma:contentTypeDescription="Tạo tài liệu mới." ma:contentTypeScope="" ma:versionID="a48eaedaa1ed1d13426b17b94bb4fe7a">
  <xsd:schema xmlns:xsd="http://www.w3.org/2001/XMLSchema" xmlns:xs="http://www.w3.org/2001/XMLSchema" xmlns:p="http://schemas.microsoft.com/office/2006/metadata/properties" xmlns:ns2="6ab11da6-c5b9-49cb-ad83-ae21ec205006" xmlns:ns3="8620256f-1d2f-43d2-8d17-c8c02a124848" targetNamespace="http://schemas.microsoft.com/office/2006/metadata/properties" ma:root="true" ma:fieldsID="43b2bb7bf99012bc38e71a4ec37c19fe" ns2:_="" ns3:_="">
    <xsd:import namespace="6ab11da6-c5b9-49cb-ad83-ae21ec205006"/>
    <xsd:import namespace="8620256f-1d2f-43d2-8d17-c8c02a1248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b11da6-c5b9-49cb-ad83-ae21ec20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hẻ Hình ảnh" ma:readOnly="false" ma:fieldId="{5cf76f15-5ced-4ddc-b409-7134ff3c332f}" ma:taxonomyMulti="true" ma:sspId="546fe6cf-c6c6-432e-bc3b-e1a865b285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0256f-1d2f-43d2-8d17-c8c02a12484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c5c2c83-07ff-4f8e-b7a6-caccdf7c6711}" ma:internalName="TaxCatchAll" ma:showField="CatchAllData" ma:web="8620256f-1d2f-43d2-8d17-c8c02a1248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b11da6-c5b9-49cb-ad83-ae21ec205006">
      <Terms xmlns="http://schemas.microsoft.com/office/infopath/2007/PartnerControls"/>
    </lcf76f155ced4ddcb4097134ff3c332f>
    <TaxCatchAll xmlns="8620256f-1d2f-43d2-8d17-c8c02a124848" xsi:nil="true"/>
  </documentManagement>
</p:properties>
</file>

<file path=customXml/itemProps1.xml><?xml version="1.0" encoding="utf-8"?>
<ds:datastoreItem xmlns:ds="http://schemas.openxmlformats.org/officeDocument/2006/customXml" ds:itemID="{7B52CD93-A118-4EAB-BB47-B3800844CF7D}"/>
</file>

<file path=customXml/itemProps2.xml><?xml version="1.0" encoding="utf-8"?>
<ds:datastoreItem xmlns:ds="http://schemas.openxmlformats.org/officeDocument/2006/customXml" ds:itemID="{45280010-91B4-42BD-8AB8-15FDFD76C4F3}"/>
</file>

<file path=customXml/itemProps3.xml><?xml version="1.0" encoding="utf-8"?>
<ds:datastoreItem xmlns:ds="http://schemas.openxmlformats.org/officeDocument/2006/customXml" ds:itemID="{2B72C550-5475-4872-BBA0-0D7594999DC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Tổng hợp dự toán</vt:lpstr>
      <vt:lpstr>Khoản 1a - Nhân sự</vt:lpstr>
      <vt:lpstr>Khoản 1b - NVL thiết bị</vt:lpstr>
      <vt:lpstr>Khoản 2 - Chi khác</vt:lpstr>
      <vt:lpstr>Phân bổ công việc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2026-09-19T02:52:05Z</dcterms:created>
  <dcterms:modified xsi:type="dcterms:W3CDTF">2026-09-21T01:06:01Z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0x01010007BB4CB8C644074DA8C0D9544B46C45A</vt:lpwstr>
  </property>
</Properties>
</file>